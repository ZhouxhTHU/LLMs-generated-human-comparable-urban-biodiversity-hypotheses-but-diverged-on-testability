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uanhong\Desktop\NEE文章\"/>
    </mc:Choice>
  </mc:AlternateContent>
  <bookViews>
    <workbookView windowWidth="22188" windowHeight="8784"/>
  </bookViews>
  <sheets>
    <sheet name="Academic_metrics" sheetId="1" r:id="rId1"/>
    <sheet name="说明与统计" sheetId="2" r:id="rId2"/>
    <sheet name="原始核验信息" sheetId="3" r:id="rId3"/>
    <sheet name="原始问卷信息" sheetId="4" r:id="rId4"/>
    <sheet name="原始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<sst xmlns="http://schemas.openxmlformats.org/spreadsheetml/2006/main" count="693" uniqueCount="371">
  <si>
    <t>Expert</t>
  </si>
  <si>
    <t>Email</t>
  </si>
  <si>
    <t>Institution</t>
  </si>
  <si>
    <t>Country</t>
  </si>
  <si>
    <t>H_index</t>
  </si>
  <si>
    <t>First_publication_year</t>
  </si>
  <si>
    <t>Profile_or_source_URL</t>
  </si>
  <si>
    <t>Amy Hahs</t>
  </si>
  <si>
    <t>amy.hahs@unimelb.edu.au</t>
  </si>
  <si>
    <t>University of Melbourne</t>
  </si>
  <si>
    <t>Australia</t>
  </si>
  <si>
    <t>https://www.webofscience.com/wos/author/record/1487432</t>
  </si>
  <si>
    <t>Yang Liu</t>
  </si>
  <si>
    <t>liuy353@mail.sysu.edu.cn</t>
  </si>
  <si>
    <t>Sun Yat-sen University</t>
  </si>
  <si>
    <t>China</t>
  </si>
  <si>
    <t>https://www.webofscience.com/wos/author/record/859024</t>
  </si>
  <si>
    <t>Charlie Nilon</t>
  </si>
  <si>
    <t>nilonc@missouri.edu</t>
  </si>
  <si>
    <t>University of Missouri</t>
  </si>
  <si>
    <t>USA</t>
  </si>
  <si>
    <t>https://www.webofscience.com/wos/author/record/29604998</t>
  </si>
  <si>
    <t>Karl L. Evans</t>
  </si>
  <si>
    <t>karl.evans@sheffield.ac.uk</t>
  </si>
  <si>
    <t>University of Sheffield</t>
  </si>
  <si>
    <t>UK</t>
  </si>
  <si>
    <t>https://www.webofscience.com/wos/author/record/7301396</t>
  </si>
  <si>
    <t>Yue Huang</t>
  </si>
  <si>
    <t>huangyue_315@163.com</t>
  </si>
  <si>
    <t>China Agricultural University, College of Horticulture</t>
  </si>
  <si>
    <t>NA</t>
  </si>
  <si>
    <t>https://www.scopus.com/authid/detail.uri?authorId=57196143709</t>
  </si>
  <si>
    <t>Sonja Knapp</t>
  </si>
  <si>
    <t>sonja.knapp@ufz.de</t>
  </si>
  <si>
    <t>Helmholtz Centre for Environmental Research – UFZ</t>
  </si>
  <si>
    <t>Germany</t>
  </si>
  <si>
    <t>https://www.webofscience.com/wos/author/record/D-5989-2015</t>
  </si>
  <si>
    <t>Peter Mikula</t>
  </si>
  <si>
    <t>petomikula158@gmail.com</t>
  </si>
  <si>
    <t>Technical University of Munich; Czech University of Life Sciences Prague</t>
  </si>
  <si>
    <t>Germany (Czechia concurrent affiliation)</t>
  </si>
  <si>
    <t>https://www.webofscience.com/wos/author/record/I-3851-2016</t>
  </si>
  <si>
    <t>Yuki Iwachido</t>
  </si>
  <si>
    <t>iwachi.yuki@gmail.com</t>
  </si>
  <si>
    <t>Tokyo Metropolitan Research Institute for Environmental Protection</t>
  </si>
  <si>
    <t>Japan</t>
  </si>
  <si>
    <t>https://www.webofscience.com/wos/author/record/15694192</t>
  </si>
  <si>
    <t>Zhishu Xiao</t>
  </si>
  <si>
    <t>xiaozs@ioz.ac.cn</t>
  </si>
  <si>
    <t>Institute of Zoology, Chinese Academy of Sciences</t>
  </si>
  <si>
    <t>https://www.webofscience.com/wos/author/record/1902862</t>
  </si>
  <si>
    <t>Davide Dominoni</t>
  </si>
  <si>
    <t>davide.dominoni@glasgow.ac.uk</t>
  </si>
  <si>
    <t>University of Glasgow</t>
  </si>
  <si>
    <t>https://www.webofscience.com/wos/author/record/E-9092-2016</t>
  </si>
  <si>
    <t>Yanina Benedetti</t>
  </si>
  <si>
    <t>ybenedetti73@gmail.com</t>
  </si>
  <si>
    <t>Czech University of Life Sciences Prague</t>
  </si>
  <si>
    <t>Czechia</t>
  </si>
  <si>
    <t>https://www.webofscience.com/wos/author/record/1511359</t>
  </si>
  <si>
    <t>João Carlos Pena</t>
  </si>
  <si>
    <t>joaocpena@gmail.com</t>
  </si>
  <si>
    <t>Universidade Estadual Paulista (UNESP)</t>
  </si>
  <si>
    <t>Brazil</t>
  </si>
  <si>
    <t>https://www.webofscience.com/wos/author/record/S-6798-2016</t>
  </si>
  <si>
    <t>Yolanda van Heezik</t>
  </si>
  <si>
    <t>yolanda.vanheezik@otago.ac.nz</t>
  </si>
  <si>
    <t>University of Otago</t>
  </si>
  <si>
    <t>New Zealand</t>
  </si>
  <si>
    <t>https://www.webofscience.com/wos/author/record/690144</t>
  </si>
  <si>
    <t>Yali Si</t>
  </si>
  <si>
    <t>y.si@cml.leidenuniv.nl</t>
  </si>
  <si>
    <t>Leiden University</t>
  </si>
  <si>
    <t>Netherlands</t>
  </si>
  <si>
    <t>https://www.webofscience.com/wos/author/record/B-3573-2012</t>
  </si>
  <si>
    <t>Federico Morelli</t>
  </si>
  <si>
    <t>federicodaniel.morelli@unito.it</t>
  </si>
  <si>
    <t>University of Turin</t>
  </si>
  <si>
    <t>Italy</t>
  </si>
  <si>
    <t>https://www.webofscience.com/wos/author/record/P-1094-2018</t>
  </si>
  <si>
    <t>Jiří Reif</t>
  </si>
  <si>
    <t>jirireif@natur.cuni.cz</t>
  </si>
  <si>
    <t>Charles University; Palacký University Olomouc</t>
  </si>
  <si>
    <t>https://www.webofscience.com/wos/author/record/I-9168-2017</t>
  </si>
  <si>
    <t>Martin Dallimer</t>
  </si>
  <si>
    <t>m.dallimer@imperial.ac.uk</t>
  </si>
  <si>
    <t>Imperial College London</t>
  </si>
  <si>
    <t>https://www.webofscience.com/wos/author/record/1057789</t>
  </si>
  <si>
    <t>Dariusz Wysocki</t>
  </si>
  <si>
    <t>dariusz.wysocki@usz.edu.pl</t>
  </si>
  <si>
    <t>University of Szczecin</t>
  </si>
  <si>
    <t>Poland</t>
  </si>
  <si>
    <t>https://www.webofscience.com/wos/author/record/47879721</t>
  </si>
  <si>
    <t>Rubén Ortega-Álvarez</t>
  </si>
  <si>
    <t>rubenortega.al@gmail.com</t>
  </si>
  <si>
    <t>Centro de Investigación en Alimentación y Desarrollo (CIAD)</t>
  </si>
  <si>
    <t>Mexico</t>
  </si>
  <si>
    <t>https://www.webofscience.com/wos/author/record/13071917</t>
  </si>
  <si>
    <t>Xingfeng Si</t>
  </si>
  <si>
    <t>six@zju.edu.cn</t>
  </si>
  <si>
    <t>Zhejiang University</t>
  </si>
  <si>
    <t>https://www.webofscience.com/wos/author/record/935522</t>
  </si>
  <si>
    <t>Zhengkai Zhang</t>
  </si>
  <si>
    <t>zkzhang@nwafu.edu.cn</t>
  </si>
  <si>
    <t>Northwest A&amp;F University</t>
  </si>
  <si>
    <t>https://www.webofscience.com/wos/author/record/28822890</t>
  </si>
  <si>
    <t>Piotr Tryjanowski</t>
  </si>
  <si>
    <t>piotr.tryjanowski@gmail.com</t>
  </si>
  <si>
    <t>Poznań University of Life Sciences</t>
  </si>
  <si>
    <t>https://www.webofscience.com/wos/author/record/188277</t>
  </si>
  <si>
    <t>Fanhua Kong</t>
  </si>
  <si>
    <t>fanhuakong@nju.edu.cn</t>
  </si>
  <si>
    <t>Nanjing University</t>
  </si>
  <si>
    <t>https://www.webofscience.com/wos/author/record/72276332</t>
  </si>
  <si>
    <t>Jukka Jokimäki</t>
  </si>
  <si>
    <t>jukka.jokimaki@ulapland.fi</t>
  </si>
  <si>
    <t>University of Lapland, Arctic Centre</t>
  </si>
  <si>
    <t>Finland</t>
  </si>
  <si>
    <t>https://www.webofscience.com/wos/author/record/1306989</t>
  </si>
  <si>
    <t>Monika Egerer</t>
  </si>
  <si>
    <t>monika.egerer@tum.de</t>
  </si>
  <si>
    <t>Technical University of Munich</t>
  </si>
  <si>
    <t>https://www.webofscience.com/wos/author/record/2347743</t>
  </si>
  <si>
    <t>Aiwu Jiang</t>
  </si>
  <si>
    <t>aiwuu@gxu.edu.cn</t>
  </si>
  <si>
    <t>Guangxi University</t>
  </si>
  <si>
    <t>https://www.webofscience.com/wos/author/record/946363</t>
  </si>
  <si>
    <t>Aaron N. Sexton</t>
  </si>
  <si>
    <t>aaron.niles.sexton@gmail.com</t>
  </si>
  <si>
    <t>Cornell University</t>
  </si>
  <si>
    <t>https://www.webofscience.com/wos/author/record/29688228</t>
  </si>
  <si>
    <t>Tien Ming Lee</t>
  </si>
  <si>
    <t>leetm@mail.sysu.edu.cn</t>
  </si>
  <si>
    <t>https://www.webofscience.com/wos/author/record/29292189</t>
  </si>
  <si>
    <t>Lu Dong</t>
  </si>
  <si>
    <t>donglu@bnu.edu.cn</t>
  </si>
  <si>
    <t>Beijing Normal University</t>
  </si>
  <si>
    <t>https://www.webofscience.com/wos/author/record/32855529</t>
  </si>
  <si>
    <t>Marcus Hedblom</t>
  </si>
  <si>
    <t>Marcus.hedblom@slu.se</t>
  </si>
  <si>
    <t>Swedish University of Agricultural Sciences (SLU)</t>
  </si>
  <si>
    <t>Sweden</t>
  </si>
  <si>
    <t>https://www.webofscience.com/wos/author/record/23371906</t>
  </si>
  <si>
    <t>Xiangxu Liu</t>
  </si>
  <si>
    <t>liuxiangxu2008a@163.com</t>
  </si>
  <si>
    <t>Tongji University</t>
  </si>
  <si>
    <t>https://www.webofscience.com/wos/author/record/10820846</t>
  </si>
  <si>
    <t>Pinjia Que</t>
  </si>
  <si>
    <t>pinjia@panda.org.cn</t>
  </si>
  <si>
    <t>Chengdu Research Base of Giant Panda Breeding</t>
  </si>
  <si>
    <t>https://www.webofscience.com/wos/author/record/28000257</t>
  </si>
  <si>
    <t>Zixuan Zeng</t>
  </si>
  <si>
    <t>zengzx22@mails.tsinghua.edu.cn</t>
  </si>
  <si>
    <t>Tsinghua University</t>
  </si>
  <si>
    <t>https://www.webofscience.com/wos/author/record/32493823</t>
  </si>
  <si>
    <t>Ian MacGregor-Fors</t>
  </si>
  <si>
    <t>ian.macgregor@helsinki.fi</t>
  </si>
  <si>
    <t>University of Helsinki</t>
  </si>
  <si>
    <t>https://www.webofscience.com/wos/author/record/P-1455-2014</t>
  </si>
  <si>
    <t>项目 / 指标</t>
  </si>
  <si>
    <t>有效 n / 人数</t>
  </si>
  <si>
    <t>Mean</t>
  </si>
  <si>
    <t>Median</t>
  </si>
  <si>
    <t>Min</t>
  </si>
  <si>
    <t>Max</t>
  </si>
  <si>
    <t>Total experts</t>
  </si>
  <si>
    <t>Verified（H 与文献数成对）</t>
  </si>
  <si>
    <t>WoS</t>
  </si>
  <si>
    <t>Scopus</t>
  </si>
  <si>
    <t>Unresolved</t>
  </si>
  <si>
    <t>首篇年份及从业年限</t>
  </si>
  <si>
    <t>Publication_count</t>
  </si>
  <si>
    <t>Career_length_years</t>
  </si>
  <si>
    <t>核验日期</t>
  </si>
  <si>
    <t>2026-09-24</t>
  </si>
  <si>
    <t>统计口径</t>
  </si>
  <si>
    <t>每项分别排除文本 NA；
不按 0 计算。
Verified 仅指 H-index 与文献数，不表示四项齐全。</t>
  </si>
  <si>
    <t>计算口径</t>
  </si>
  <si>
    <t>从业年限 = 2026 − 首篇正式发表年份 + 1；
包含首尾年，不代表实际受雇年数。</t>
  </si>
  <si>
    <t>首篇口径</t>
  </si>
  <si>
    <t>采用已确认作者在 WoS 中最早且可可靠归属的记录所显示发表年；
排除可证实的同名误归属。</t>
  </si>
  <si>
    <t>来源位置</t>
  </si>
  <si>
    <t>主表 J：WoS 作者档案页；
K：首篇题目、日期及来源；
L：核验与限制；
O：身份依据链接。
逐人来源索引另见 source_index_wos.md。</t>
  </si>
  <si>
    <t>数据库范围</t>
  </si>
  <si>
    <t>所有非 NA 的 H-index 与文献数均成对来自同一 WoS Core Collection 作者档案；
未混用 Scopus，也未使用 Google Scholar、ResearchGate 或搜索摘要替代。</t>
  </si>
  <si>
    <t>原始信息</t>
  </si>
  <si>
    <t>三个原始信息页保留输入文件所有有内容字段和说明；
未修改两个原文件。
详细复核见 verification_report_wos.md。</t>
  </si>
  <si>
    <t>缺失限制</t>
  </si>
  <si>
    <t>7 位未取得可靠数据库指标；
2 位未确认 WoS 首篇年份。
NA 不代表没有论文或没有数据库档案。</t>
  </si>
  <si>
    <t>Round</t>
  </si>
  <si>
    <t>机构所在地</t>
  </si>
  <si>
    <t>地区依据</t>
  </si>
  <si>
    <t>性别</t>
  </si>
  <si>
    <t>性别依据</t>
  </si>
  <si>
    <t>参考信息</t>
  </si>
  <si>
    <t>Both</t>
  </si>
  <si>
    <t>University of Melbourne公开主页，Urban Horticulture/Urban Ecology</t>
  </si>
  <si>
    <t>Woman</t>
  </si>
  <si>
    <t>研究组主页明确使用“she/her”</t>
  </si>
  <si>
    <t>https://www.google.com.hk/goto?url=CAEScAHrOzAV5C5G_93a5rpSWJ3QHWUH1S4y05735wmi4b4c6J-oc9tubvojAYeGl8fNEAVEajFManNA7z4IzTCezpKD8SVXyv9saQi2kITVR255g1Wtsmz-RYoIOwCoNxHEriCgR965v-_cP30ZbA7j4jk</t>
  </si>
  <si>
    <t>Sun Yat-sen University，邮箱与名单一致</t>
  </si>
  <si>
    <t>Man</t>
  </si>
  <si>
    <t>Nature/Sci Data个人简介使用“His research”，以及个人主页</t>
  </si>
  <si>
    <t>https://eco.sysu.edu.cn/teacher/LiuYang</t>
  </si>
  <si>
    <t>R1</t>
  </si>
  <si>
    <t>University of Missouri官方介绍</t>
  </si>
  <si>
    <t>Missouri报道中对Charlie使用“he”，以及照片</t>
  </si>
  <si>
    <t>https://blackstudies.missouri.edu/people/nilon</t>
  </si>
  <si>
    <t>University of Sheffield官方主页</t>
  </si>
  <si>
    <t>项目官方简介使用“His research”</t>
  </si>
  <si>
    <t>https://www.planningfornature.org/meet-the-team?utm_source=chatgpt.com</t>
  </si>
  <si>
    <t>Agricultural University，邮箱与名单完全一致</t>
  </si>
  <si>
    <t>CAU官方材料明确写“性别：女”</t>
  </si>
  <si>
    <t>https://yyxy.cau.edu.cn/module/download/downfile.jsp?classid=0&amp;filename=a7445f43d13a445cad24e2c9c36f65ff.pdf&amp;utm_source=chatgpt.com</t>
  </si>
  <si>
    <t>UFZ官方主页，Halle, Germany</t>
  </si>
  <si>
    <t>公开学术简介明确使用“She”</t>
  </si>
  <si>
    <t>https://www.ufz.de/index.php?en=36737&amp;utm_source=chatgpt.com</t>
  </si>
  <si>
    <t>Germany* Czechia？</t>
  </si>
  <si>
    <t>公开专业profile列为He/Him</t>
  </si>
  <si>
    <t>https://scholar.google.com/citations?user=ES0YHesAAAAJ&amp;hl=sk</t>
  </si>
  <si>
    <t>2026论文及个人主页均显示Tokyo/Yokohama, Japan</t>
  </si>
  <si>
    <t>Tokyo City University alumni magazine explicitly identifies Iwachido as a member of the “男子部員” (male team members); identity cross-checked by exact name, department, and education history in J-GLOBAL</t>
  </si>
  <si>
    <t>https://www.comm.tcu.ac.jp/kouenkai/wordpress/wp-content/uploads/2022/02/tcucom49.pdf?utm_source=chatgpt.com和https://jglobal.jst.go.jp/detail/?JGLOBAL_ID=202401012708518518&amp;t=1&amp;utm_source=chatgpt.com</t>
  </si>
  <si>
    <t>CAS Institute of Zoology官方主页，北京</t>
  </si>
  <si>
    <t>个人网页</t>
  </si>
  <si>
    <t>https://ioz.cas.cn/sourcedb/zw/zjrc/200907/t20090716_2088360.html</t>
  </si>
  <si>
    <t>University of Glasgow官方研究组主页</t>
  </si>
  <si>
    <t>公开个人简介使用男性代词</t>
  </si>
  <si>
    <t>https://www.gla.ac.uk/schools/bohvm/research/sigs/spatial/people/?utm_source=chatgpt.com</t>
  </si>
  <si>
    <t>Czech University of Life Sciences，Prague</t>
  </si>
  <si>
    <t>BIOSKETCH明确写“Her main research…”</t>
  </si>
  <si>
    <t>https://onlinelibrary.wiley.com/doi/full/10.1111/jbi.14970?utm_source=chatgpt.com</t>
  </si>
  <si>
    <t>UNESP, São Paulo, Brazil</t>
  </si>
  <si>
    <t>Urban Eco-Evolution profile明确多次使用“he/his”</t>
  </si>
  <si>
    <t>https://pmc.ncbi.nlm.nih.gov/articles/PMC8651822/?utm_source=chatgpt.com</t>
  </si>
  <si>
    <t>University of Otago官方主页</t>
  </si>
  <si>
    <t>Otago官方介绍明确使用“her”</t>
  </si>
  <si>
    <t>https://www.google.com.hk/goto?url=CAESaAHrOzAV5acTnf8fdjzjAE4pk-A4phKKlz6yDEB-0abC9K-jzI69ML0AtWyTEi27eBoU8gvTzD4e0glL8x-lcJ7y_Clxh_Bn7M63KdWGwXc0qzgYCN4WlQmxi4DSh9Zc2NvAnJ5Deupf</t>
  </si>
  <si>
    <t>Leiden University官方主页</t>
  </si>
  <si>
    <t>Leiden官方报道使用“she”</t>
  </si>
  <si>
    <t>https://www.universiteitleiden.nl/en/in-the-media/2024/04/adapting-to-climate-change-how-leftover-seeds-can-help-birds-breed?utm_source=chatgpt.com</t>
  </si>
  <si>
    <t>2026论文：University of Turin, Italy</t>
  </si>
  <si>
    <t>2026 WSL简介使用“His research”</t>
  </si>
  <si>
    <t>https://besjournals.onlinelibrary.wiley.com/doi/10.1002/pan3.70226?utm_source=chatgpt.com</t>
  </si>
  <si>
    <t>Charles University官方主页</t>
  </si>
  <si>
    <t>PECBMS简介使用“He aims…”</t>
  </si>
  <si>
    <t>https://is.cuni.cz/webapps/whois2/osoba/1726833558372469/?lang=en&amp;utm_source=chatgpt.com</t>
  </si>
  <si>
    <t>Imperial College London官方主页</t>
  </si>
  <si>
    <t>公开个人/机构简介明确使用男性代词</t>
  </si>
  <si>
    <t>https://www.eld-initiative.org/en/about-eld/eld-working-group-1/martin-dallimer</t>
  </si>
  <si>
    <t>University of Szczecin，邮箱完全对应</t>
  </si>
  <si>
    <t>公开资料</t>
  </si>
  <si>
    <t>https://onlinelibrary.wiley.com/doi/full/10.1002/ece3.70663?utm_source=chatgpt.com</t>
  </si>
  <si>
    <t>CIAD官方个人主页，Colima, Mexico</t>
  </si>
  <si>
    <t>CIAD西语官方职称使用男性形式“Dr./Investigador”</t>
  </si>
  <si>
    <t>https://www.ciad.mx/personal/ruben-ortega-alvarez/</t>
  </si>
  <si>
    <t>Zhejiang University/Si Lab；名单里的“Xinfeng Si”应为Xingfeng Si，邮箱一致</t>
  </si>
  <si>
    <t>官方个人研究介绍使用“his research”</t>
  </si>
  <si>
    <t>https://sixf.org/en/research/?utm_source=chatgpt.com</t>
  </si>
  <si>
    <t>Northwest A&amp;F University，zkzhang@nwafu.edu.cn与名单一致</t>
  </si>
  <si>
    <t>公示</t>
  </si>
  <si>
    <t>https://rsc.nwafu.edu.cn/gsgg/275d8f5c8d8e449798a456ab7f80f9fa.htm?utm_source=chatgpt.com</t>
  </si>
  <si>
    <t>简介使用“His research interests”</t>
  </si>
  <si>
    <t>https://zoologia.up.poznan.pl/en/laboratory-of-zoology/employees/piotr-tryjanowski-professor/</t>
  </si>
  <si>
    <t>Nanjing University官方主页</t>
  </si>
  <si>
    <t>学术期刊简介明确使用“her research”</t>
  </si>
  <si>
    <t>https://sgos.nju.edu.cn/kfh/list.htm?utm_source=chatgpt.com</t>
  </si>
  <si>
    <t>University of Lapland Arctic Centre官方主页</t>
  </si>
  <si>
    <t>2026研究报道明确写“his research team”</t>
  </si>
  <si>
    <t>https://research.ulapland.fi/en/persons/jukka-jokim%C3%A4ki/?utm_source=chatgpt.com</t>
  </si>
  <si>
    <t>TUM官方主页</t>
  </si>
  <si>
    <t>TUM德语官方页面使用女性职称“Professorin”</t>
  </si>
  <si>
    <t>https://www.lss.ls.tum.de/upe/team/?utm_source=chatgpt.com</t>
  </si>
  <si>
    <t>Guangxi University，2026论文邮箱一致</t>
  </si>
  <si>
    <t>公开学术简介明确使用“He”</t>
  </si>
  <si>
    <t>https://baike.baidu.com/item/%E8%92%8B%E7%88%B1%E4%BC%8D/49771113</t>
  </si>
  <si>
    <t>Cornell lab自2025年7月启动；2026论文列Cornell为第一单位</t>
  </si>
  <si>
    <t>本人CV明确标注“he/him”</t>
  </si>
  <si>
    <t>https://aaronsexton.com/team/?utm_source=chatgpt.com</t>
  </si>
  <si>
    <t>SYSU个人简介明确多次使用“He”</t>
  </si>
  <si>
    <t>https://eco.sysu.edu.cn/teacher/TienMingLee</t>
  </si>
  <si>
    <t>Beijing Normal University官方主页，邮箱一致</t>
  </si>
  <si>
    <t>BNU官方资料明确写“性别：男”</t>
  </si>
  <si>
    <t>https://bsee.bnu.edu.cn/yjdw/kyry/f62109d6fb8d4a7e8cba1f592a92b57a.htm?utm_source=chatgpt.com</t>
  </si>
  <si>
    <t>SLU官方主页；名单“Heldblom”为拼写错误，应为Hedblom</t>
  </si>
  <si>
    <t>SLU官方报道使用“He/His”</t>
  </si>
  <si>
    <t>https://www.slu.se/en/profilepages/h/marcus-hedblom/?utm_source=chatgpt.com</t>
  </si>
  <si>
    <t>R2</t>
  </si>
  <si>
    <t>Tongji University, Shanghai</t>
  </si>
  <si>
    <t>微信推文</t>
  </si>
  <si>
    <t>https://mp.weixin.qq.com/s/wydll2r3csmcxoTya0MotA</t>
  </si>
  <si>
    <t>研究团队简介明确使用“his PhD study”</t>
  </si>
  <si>
    <t>https://dianda.cqvip.com/Qikan/Article/Detail?from=Qikan_Article_Detail&amp;id=7111533534&amp;utm_source=chatgpt.com</t>
  </si>
  <si>
    <t>Tsinghua University，邮箱及研究方向均对应</t>
  </si>
  <si>
    <t>微信推文推断</t>
  </si>
  <si>
    <t>https://mp.weixin.qq.com/s/KwOkX8OmZgMrnDb_vpEFrQ</t>
  </si>
  <si>
    <t>University of Helsinki官方Research Portal</t>
  </si>
  <si>
    <t>Helsinki官方报道使用“he”</t>
  </si>
  <si>
    <t>https://researchportal.helsinki.fi/en/persons/ian-macgregor-fors/?utm_source=chatgpt.com</t>
  </si>
  <si>
    <t>备注：红色(不参与)，绿色（参与未完成），黄色（参与且已完成）</t>
  </si>
  <si>
    <t>有匿名专家，不确定谁做了建议</t>
  </si>
  <si>
    <t>ID</t>
  </si>
  <si>
    <t>专家姓名</t>
  </si>
  <si>
    <t>邮箱</t>
  </si>
  <si>
    <t>参与轮次</t>
  </si>
  <si>
    <t>是否回复</t>
  </si>
  <si>
    <t>是否同意参与</t>
  </si>
  <si>
    <t>是否完成</t>
  </si>
  <si>
    <t>备注</t>
  </si>
  <si>
    <t>M01</t>
  </si>
  <si>
    <t>Round 1 &amp; Round 2</t>
  </si>
  <si>
    <t>M02</t>
  </si>
  <si>
    <t>是</t>
  </si>
  <si>
    <t>M03</t>
  </si>
  <si>
    <t>Round 1</t>
  </si>
  <si>
    <t>M04</t>
  </si>
  <si>
    <t>Karl L Evans</t>
  </si>
  <si>
    <t>M05</t>
  </si>
  <si>
    <t>huangyue</t>
  </si>
  <si>
    <t>M06</t>
  </si>
  <si>
    <t>M07</t>
  </si>
  <si>
    <t>M08</t>
  </si>
  <si>
    <t>M09</t>
  </si>
  <si>
    <t>M10</t>
  </si>
  <si>
    <t>M11</t>
  </si>
  <si>
    <t>M12</t>
  </si>
  <si>
    <t>Dr. João Carlos Pena</t>
  </si>
  <si>
    <t>否</t>
  </si>
  <si>
    <t>事务繁忙无法完成</t>
  </si>
  <si>
    <t>M13</t>
  </si>
  <si>
    <t>M14</t>
  </si>
  <si>
    <t>9.29之后有空</t>
  </si>
  <si>
    <t>M15</t>
  </si>
  <si>
    <t>M16</t>
  </si>
  <si>
    <t>M17</t>
  </si>
  <si>
    <t>M18</t>
  </si>
  <si>
    <t>M19</t>
  </si>
  <si>
    <t>Ruben Ortega-alvarez</t>
  </si>
  <si>
    <t>M20</t>
  </si>
  <si>
    <t>M21</t>
  </si>
  <si>
    <t>M22</t>
  </si>
  <si>
    <t>M23</t>
  </si>
  <si>
    <t>M24</t>
  </si>
  <si>
    <t>M25</t>
  </si>
  <si>
    <t>M26</t>
  </si>
  <si>
    <t>M27</t>
  </si>
  <si>
    <t>Aaron Sexton</t>
  </si>
  <si>
    <t>M28</t>
  </si>
  <si>
    <t>M29</t>
  </si>
  <si>
    <t>M30</t>
  </si>
  <si>
    <t>M31</t>
  </si>
  <si>
    <t>Round 2</t>
  </si>
  <si>
    <t>M32</t>
  </si>
  <si>
    <t>M33</t>
  </si>
  <si>
    <t>M34</t>
  </si>
  <si>
    <t>项目</t>
  </si>
  <si>
    <t>说明</t>
  </si>
  <si>
    <t>地区定义</t>
  </si>
  <si>
    <t>“地区”按评估期附近专家的主要 academic/research institutional affiliation（学术/研究机构所在地）统计，不按国籍。</t>
  </si>
  <si>
    <t>性别记录原则</t>
  </si>
  <si>
    <t>未直接向参与者收集性别。仅当公开专业资料中出现明确 he/she、he/him、her 或中文“性别：男/女”等信息时记录；不依据姓名或照片推断。</t>
  </si>
  <si>
    <t>按2025–2026年论文中的主要通讯单位 Technical University of Munich 归为 Germany；同时保留捷克机构兼职。</t>
  </si>
  <si>
    <t>Cornell urban ecology lab 于2025年7月启动，2026年论文同时列 Cornell 和 TUM；按评估期附近主要现职归为 USA。</t>
  </si>
  <si>
    <t>姓名校正 1</t>
  </si>
  <si>
    <t>Xinfeng Si → Xingfeng Si；six@zju.edu.cn 与官方实验室主页对应。</t>
  </si>
  <si>
    <t>姓名校正 2</t>
  </si>
  <si>
    <t>Marcus Heldblom → Marcus Hedblom；marcus.hedblom@slu.se 与 SLU 官方主页对应。</t>
  </si>
  <si>
    <t>参与人数</t>
  </si>
  <si>
    <t>34 位 unique experts；Round 1 = 30，Round 2 = 30；26 位两轮均参加，4 位仅 Round 1，4 位仅 Round 2。</t>
  </si>
  <si>
    <t>性别汇总</t>
  </si>
  <si>
    <t>34 位专家中，可可靠确认 28 位：20 men，8 women；其余 6 位 not reliably determined。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</si>
</sst>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color rgb="FF172B3A"/>
      <name val="Microsoft YaHei"/>
      <charset val="134"/>
    </font>
    <font>
      <sz val="11"/>
      <color rgb="FFFF0000"/>
      <name val="Carlito"/>
      <charset val="134"/>
    </font>
    <font>
      <b/>
      <sz val="10"/>
      <color rgb="FFFF0000"/>
      <name val="Microsoft YaHei"/>
      <charset val="134"/>
    </font>
    <font>
      <sz val="10"/>
      <color rgb="FFFF0000"/>
      <name val="Microsoft YaHei"/>
      <charset val="134"/>
    </font>
    <font>
      <u/>
      <sz val="11"/>
      <color rgb="FF0000FF"/>
      <name val="Calibri"/>
      <charset val="0"/>
      <scheme val="minor"/>
    </font>
    <font>
      <sz val="10"/>
      <color rgb="FF7E6A50"/>
      <name val="Microsoft YaHei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93D50"/>
        <bgColor indexed="64"/>
      </patternFill>
    </fill>
    <fill>
      <patternFill patternType="solid">
        <fgColor rgb="FFF0F5F7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2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2" fillId="3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vertical="top" wrapText="1"/>
    </xf>
    <xf numFmtId="0" fontId="2" fillId="5" borderId="0" xfId="49" applyNumberFormat="1" applyFont="1" applyFill="1" applyBorder="1" applyAlignment="1">
      <alignment vertical="top" wrapText="1"/>
    </xf>
    <xf numFmtId="0" fontId="2" fillId="6" borderId="0" xfId="49" applyNumberFormat="1" applyFont="1" applyFill="1" applyBorder="1" applyAlignment="1">
      <alignment vertical="top" wrapText="1"/>
    </xf>
    <xf numFmtId="2" fontId="2" fillId="0" borderId="0" xfId="49" applyNumberFormat="1" applyFont="1" applyFill="1" applyBorder="1" applyAlignment="1">
      <alignment vertical="top" wrapText="1"/>
    </xf>
    <xf numFmtId="2" fontId="2" fillId="3" borderId="0" xfId="49" applyNumberFormat="1" applyFont="1" applyFill="1" applyBorder="1" applyAlignment="1">
      <alignment vertical="top" wrapText="1"/>
    </xf>
    <xf numFmtId="0" fontId="0" fillId="0" borderId="0" xfId="49" applyFill="1"/>
    <xf numFmtId="0" fontId="3" fillId="0" borderId="0" xfId="49" applyFont="1"/>
    <xf numFmtId="0" fontId="1" fillId="0" borderId="0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vertical="top" wrapText="1"/>
    </xf>
    <xf numFmtId="1" fontId="2" fillId="0" borderId="0" xfId="49" applyNumberFormat="1" applyFont="1" applyFill="1" applyBorder="1" applyAlignment="1">
      <alignment horizontal="center" vertical="top" wrapText="1"/>
    </xf>
    <xf numFmtId="1" fontId="5" fillId="0" borderId="0" xfId="49" applyNumberFormat="1" applyFont="1" applyFill="1" applyBorder="1" applyAlignment="1">
      <alignment horizontal="center" vertical="top" wrapText="1"/>
    </xf>
    <xf numFmtId="0" fontId="6" fillId="0" borderId="0" xfId="6" applyNumberFormat="1" applyFill="1" applyBorder="1" applyAlignment="1">
      <alignment vertical="top" wrapText="1"/>
    </xf>
    <xf numFmtId="1" fontId="7" fillId="0" borderId="0" xfId="49" applyNumberFormat="1" applyFont="1" applyFill="1" applyBorder="1" applyAlignment="1">
      <alignment horizontal="center" vertical="top" wrapText="1"/>
    </xf>
    <xf numFmtId="0" fontId="8" fillId="0" borderId="0" xfId="6" applyNumberFormat="1" applyFont="1" applyFill="1" applyBorder="1" applyAlignment="1">
      <alignment vertical="top" wrapText="1"/>
    </xf>
    <xf numFmtId="0" fontId="3" fillId="0" borderId="0" xfId="49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4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xpertMetrics" displayName="ExpertMetrics" ref="A1:G35" totalsRowShown="0">
  <tableColumns count="7">
    <tableColumn id="1" name="Expert" dataDxfId="0"/>
    <tableColumn id="2" name="Email" dataDxfId="1"/>
    <tableColumn id="3" name="Institution" dataDxfId="2"/>
    <tableColumn id="4" name="Country" dataDxfId="3"/>
    <tableColumn id="6" name="H_index" dataDxfId="4"/>
    <tableColumn id="8" name="First_publication_year" dataDxfId="5"/>
    <tableColumn id="10" name="Profile_or_source_URL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ebofscience.com/wos/author/record/15694192" TargetMode="External"/><Relationship Id="rId8" Type="http://schemas.openxmlformats.org/officeDocument/2006/relationships/hyperlink" Target="https://www.webofscience.com/wos/author/record/I-3851-2016" TargetMode="External"/><Relationship Id="rId7" Type="http://schemas.openxmlformats.org/officeDocument/2006/relationships/hyperlink" Target="https://www.webofscience.com/wos/author/record/D-5989-2015" TargetMode="External"/><Relationship Id="rId6" Type="http://schemas.openxmlformats.org/officeDocument/2006/relationships/hyperlink" Target="https://www.webofscience.com/wos/author/record/859024" TargetMode="External"/><Relationship Id="rId5" Type="http://schemas.openxmlformats.org/officeDocument/2006/relationships/hyperlink" Target="https://www.scopus.com/authid/detail.uri?authorId=57196143709" TargetMode="External"/><Relationship Id="rId4" Type="http://schemas.openxmlformats.org/officeDocument/2006/relationships/hyperlink" Target="https://www.webofscience.com/wos/author/record/7301396" TargetMode="External"/><Relationship Id="rId35" Type="http://schemas.openxmlformats.org/officeDocument/2006/relationships/hyperlink" Target="https://www.webofscience.com/wos/author/record/P-1455-2014" TargetMode="External"/><Relationship Id="rId34" Type="http://schemas.openxmlformats.org/officeDocument/2006/relationships/hyperlink" Target="https://www.webofscience.com/wos/author/record/32493823" TargetMode="External"/><Relationship Id="rId33" Type="http://schemas.openxmlformats.org/officeDocument/2006/relationships/hyperlink" Target="https://www.webofscience.com/wos/author/record/28000257" TargetMode="External"/><Relationship Id="rId32" Type="http://schemas.openxmlformats.org/officeDocument/2006/relationships/hyperlink" Target="https://www.webofscience.com/wos/author/record/10820846" TargetMode="External"/><Relationship Id="rId31" Type="http://schemas.openxmlformats.org/officeDocument/2006/relationships/hyperlink" Target="https://www.webofscience.com/wos/author/record/23371906" TargetMode="External"/><Relationship Id="rId30" Type="http://schemas.openxmlformats.org/officeDocument/2006/relationships/hyperlink" Target="https://www.webofscience.com/wos/author/record/32855529" TargetMode="External"/><Relationship Id="rId3" Type="http://schemas.openxmlformats.org/officeDocument/2006/relationships/hyperlink" Target="https://www.webofscience.com/wos/author/record/29604998" TargetMode="External"/><Relationship Id="rId29" Type="http://schemas.openxmlformats.org/officeDocument/2006/relationships/hyperlink" Target="https://www.webofscience.com/wos/author/record/29292189" TargetMode="External"/><Relationship Id="rId28" Type="http://schemas.openxmlformats.org/officeDocument/2006/relationships/hyperlink" Target="https://www.webofscience.com/wos/author/record/29688228" TargetMode="External"/><Relationship Id="rId27" Type="http://schemas.openxmlformats.org/officeDocument/2006/relationships/hyperlink" Target="https://www.webofscience.com/wos/author/record/946363" TargetMode="External"/><Relationship Id="rId26" Type="http://schemas.openxmlformats.org/officeDocument/2006/relationships/hyperlink" Target="https://www.webofscience.com/wos/author/record/2347743" TargetMode="External"/><Relationship Id="rId25" Type="http://schemas.openxmlformats.org/officeDocument/2006/relationships/hyperlink" Target="https://www.webofscience.com/wos/author/record/1306989" TargetMode="External"/><Relationship Id="rId24" Type="http://schemas.openxmlformats.org/officeDocument/2006/relationships/hyperlink" Target="https://www.webofscience.com/wos/author/record/72276332" TargetMode="External"/><Relationship Id="rId23" Type="http://schemas.openxmlformats.org/officeDocument/2006/relationships/hyperlink" Target="https://www.webofscience.com/wos/author/record/188277" TargetMode="External"/><Relationship Id="rId22" Type="http://schemas.openxmlformats.org/officeDocument/2006/relationships/hyperlink" Target="https://www.webofscience.com/wos/author/record/28822890" TargetMode="External"/><Relationship Id="rId21" Type="http://schemas.openxmlformats.org/officeDocument/2006/relationships/hyperlink" Target="https://www.webofscience.com/wos/author/record/935522" TargetMode="External"/><Relationship Id="rId20" Type="http://schemas.openxmlformats.org/officeDocument/2006/relationships/hyperlink" Target="https://www.webofscience.com/wos/author/record/13071917" TargetMode="External"/><Relationship Id="rId2" Type="http://schemas.openxmlformats.org/officeDocument/2006/relationships/hyperlink" Target="https://www.webofscience.com/wos/author/record/1487432" TargetMode="External"/><Relationship Id="rId19" Type="http://schemas.openxmlformats.org/officeDocument/2006/relationships/hyperlink" Target="https://www.webofscience.com/wos/author/record/47879721" TargetMode="External"/><Relationship Id="rId18" Type="http://schemas.openxmlformats.org/officeDocument/2006/relationships/hyperlink" Target="https://www.webofscience.com/wos/author/record/1057789" TargetMode="External"/><Relationship Id="rId17" Type="http://schemas.openxmlformats.org/officeDocument/2006/relationships/hyperlink" Target="https://www.webofscience.com/wos/author/record/I-9168-2017" TargetMode="External"/><Relationship Id="rId16" Type="http://schemas.openxmlformats.org/officeDocument/2006/relationships/hyperlink" Target="https://www.webofscience.com/wos/author/record/P-1094-2018" TargetMode="External"/><Relationship Id="rId15" Type="http://schemas.openxmlformats.org/officeDocument/2006/relationships/hyperlink" Target="https://www.webofscience.com/wos/author/record/B-3573-2012" TargetMode="External"/><Relationship Id="rId14" Type="http://schemas.openxmlformats.org/officeDocument/2006/relationships/hyperlink" Target="https://www.webofscience.com/wos/author/record/690144" TargetMode="External"/><Relationship Id="rId13" Type="http://schemas.openxmlformats.org/officeDocument/2006/relationships/hyperlink" Target="https://www.webofscience.com/wos/author/record/S-6798-2016" TargetMode="External"/><Relationship Id="rId12" Type="http://schemas.openxmlformats.org/officeDocument/2006/relationships/hyperlink" Target="https://www.webofscience.com/wos/author/record/1511359" TargetMode="External"/><Relationship Id="rId11" Type="http://schemas.openxmlformats.org/officeDocument/2006/relationships/hyperlink" Target="https://www.webofscience.com/wos/author/record/E-9092-2016" TargetMode="External"/><Relationship Id="rId10" Type="http://schemas.openxmlformats.org/officeDocument/2006/relationships/hyperlink" Target="https://www.webofscience.com/wos/author/record/1902862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showGridLines="0" tabSelected="1" workbookViewId="0">
      <pane xSplit="1" ySplit="1" topLeftCell="B2" activePane="bottomRight" state="frozen"/>
      <selection/>
      <selection pane="topRight"/>
      <selection pane="bottomLeft"/>
      <selection pane="bottomRight" activeCell="G2" sqref="G2"/>
    </sheetView>
  </sheetViews>
  <sheetFormatPr defaultColWidth="9" defaultRowHeight="13.8" outlineLevelCol="6"/>
  <cols>
    <col min="1" max="1" width="25" customWidth="1"/>
    <col min="2" max="2" width="35" hidden="1" customWidth="1"/>
    <col min="3" max="3" width="43" hidden="1" customWidth="1"/>
    <col min="4" max="4" width="24" hidden="1" customWidth="1"/>
    <col min="5" max="5" width="12" customWidth="1"/>
    <col min="6" max="6" width="21" style="10" customWidth="1"/>
    <col min="7" max="7" width="65" customWidth="1"/>
  </cols>
  <sheetData>
    <row r="1" s="9" customFormat="1" ht="42" customHeight="1" spans="1: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1" t="s">
        <v>6</v>
      </c>
    </row>
    <row r="2" s="9" customFormat="1" ht="120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13">
        <v>34</v>
      </c>
      <c r="F2" s="14">
        <v>1999</v>
      </c>
      <c r="G2" s="15" t="s">
        <v>11</v>
      </c>
    </row>
    <row r="3" s="9" customFormat="1" ht="120" customHeight="1" spans="1:7">
      <c r="A3" s="2" t="s">
        <v>12</v>
      </c>
      <c r="B3" s="2" t="s">
        <v>13</v>
      </c>
      <c r="C3" s="2" t="s">
        <v>14</v>
      </c>
      <c r="D3" s="2" t="s">
        <v>15</v>
      </c>
      <c r="E3" s="16">
        <v>14</v>
      </c>
      <c r="F3" s="14">
        <v>2015</v>
      </c>
      <c r="G3" s="15" t="s">
        <v>16</v>
      </c>
    </row>
    <row r="4" s="9" customFormat="1" ht="120" customHeight="1" spans="1:7">
      <c r="A4" s="2" t="s">
        <v>17</v>
      </c>
      <c r="B4" s="2" t="s">
        <v>18</v>
      </c>
      <c r="C4" s="2" t="s">
        <v>19</v>
      </c>
      <c r="D4" s="2" t="s">
        <v>20</v>
      </c>
      <c r="E4" s="13">
        <v>23</v>
      </c>
      <c r="F4" s="14">
        <v>1984</v>
      </c>
      <c r="G4" s="15" t="s">
        <v>21</v>
      </c>
    </row>
    <row r="5" s="9" customFormat="1" ht="120" customHeight="1" spans="1:7">
      <c r="A5" s="2" t="s">
        <v>22</v>
      </c>
      <c r="B5" s="2" t="s">
        <v>23</v>
      </c>
      <c r="C5" s="2" t="s">
        <v>24</v>
      </c>
      <c r="D5" s="2" t="s">
        <v>25</v>
      </c>
      <c r="E5" s="16">
        <v>52</v>
      </c>
      <c r="F5" s="14">
        <v>1977</v>
      </c>
      <c r="G5" s="15" t="s">
        <v>26</v>
      </c>
    </row>
    <row r="6" s="9" customFormat="1" ht="120" customHeight="1" spans="1:7">
      <c r="A6" s="2" t="s">
        <v>27</v>
      </c>
      <c r="B6" s="2" t="s">
        <v>28</v>
      </c>
      <c r="C6" s="2" t="s">
        <v>29</v>
      </c>
      <c r="D6" s="2" t="s">
        <v>15</v>
      </c>
      <c r="E6" s="13" t="s">
        <v>30</v>
      </c>
      <c r="F6" s="14" t="s">
        <v>30</v>
      </c>
      <c r="G6" s="17" t="s">
        <v>31</v>
      </c>
    </row>
    <row r="7" s="9" customFormat="1" ht="120" customHeight="1" spans="1:7">
      <c r="A7" s="2" t="s">
        <v>32</v>
      </c>
      <c r="B7" s="2" t="s">
        <v>33</v>
      </c>
      <c r="C7" s="2" t="s">
        <v>34</v>
      </c>
      <c r="D7" s="2" t="s">
        <v>35</v>
      </c>
      <c r="E7" s="13">
        <v>32</v>
      </c>
      <c r="F7" s="14">
        <v>2008</v>
      </c>
      <c r="G7" s="15" t="s">
        <v>36</v>
      </c>
    </row>
    <row r="8" s="9" customFormat="1" ht="120" customHeight="1" spans="1:7">
      <c r="A8" s="2" t="s">
        <v>37</v>
      </c>
      <c r="B8" s="2" t="s">
        <v>38</v>
      </c>
      <c r="C8" s="2" t="s">
        <v>39</v>
      </c>
      <c r="D8" s="2" t="s">
        <v>40</v>
      </c>
      <c r="E8" s="13">
        <v>20</v>
      </c>
      <c r="F8" s="14">
        <v>2013</v>
      </c>
      <c r="G8" s="15" t="s">
        <v>41</v>
      </c>
    </row>
    <row r="9" s="9" customFormat="1" ht="120" customHeight="1" spans="1:7">
      <c r="A9" s="2" t="s">
        <v>42</v>
      </c>
      <c r="B9" s="2" t="s">
        <v>43</v>
      </c>
      <c r="C9" s="2" t="s">
        <v>44</v>
      </c>
      <c r="D9" s="2" t="s">
        <v>45</v>
      </c>
      <c r="E9" s="13">
        <v>7</v>
      </c>
      <c r="F9" s="14">
        <v>2020</v>
      </c>
      <c r="G9" s="15" t="s">
        <v>46</v>
      </c>
    </row>
    <row r="10" s="9" customFormat="1" ht="120" customHeight="1" spans="1:7">
      <c r="A10" s="2" t="s">
        <v>47</v>
      </c>
      <c r="B10" s="2" t="s">
        <v>48</v>
      </c>
      <c r="C10" s="2" t="s">
        <v>49</v>
      </c>
      <c r="D10" s="2" t="s">
        <v>15</v>
      </c>
      <c r="E10" s="13">
        <v>26</v>
      </c>
      <c r="F10" s="14">
        <v>2003</v>
      </c>
      <c r="G10" s="15" t="s">
        <v>50</v>
      </c>
    </row>
    <row r="11" s="9" customFormat="1" ht="120" customHeight="1" spans="1:7">
      <c r="A11" s="2" t="s">
        <v>51</v>
      </c>
      <c r="B11" s="2" t="s">
        <v>52</v>
      </c>
      <c r="C11" s="2" t="s">
        <v>53</v>
      </c>
      <c r="D11" s="2" t="s">
        <v>25</v>
      </c>
      <c r="E11" s="13">
        <v>35</v>
      </c>
      <c r="F11" s="14">
        <v>2013</v>
      </c>
      <c r="G11" s="15" t="s">
        <v>54</v>
      </c>
    </row>
    <row r="12" s="9" customFormat="1" ht="120" customHeight="1" spans="1:7">
      <c r="A12" s="2" t="s">
        <v>55</v>
      </c>
      <c r="B12" s="2" t="s">
        <v>56</v>
      </c>
      <c r="C12" s="2" t="s">
        <v>57</v>
      </c>
      <c r="D12" s="2" t="s">
        <v>58</v>
      </c>
      <c r="E12" s="13">
        <v>25</v>
      </c>
      <c r="F12" s="14">
        <v>2013</v>
      </c>
      <c r="G12" s="15" t="s">
        <v>59</v>
      </c>
    </row>
    <row r="13" s="9" customFormat="1" ht="120" customHeight="1" spans="1:7">
      <c r="A13" s="2" t="s">
        <v>60</v>
      </c>
      <c r="B13" s="2" t="s">
        <v>61</v>
      </c>
      <c r="C13" s="2" t="s">
        <v>62</v>
      </c>
      <c r="D13" s="2" t="s">
        <v>63</v>
      </c>
      <c r="E13" s="13">
        <v>13</v>
      </c>
      <c r="F13" s="14">
        <v>2012</v>
      </c>
      <c r="G13" s="15" t="s">
        <v>64</v>
      </c>
    </row>
    <row r="14" s="9" customFormat="1" ht="120" customHeight="1" spans="1:7">
      <c r="A14" s="2" t="s">
        <v>65</v>
      </c>
      <c r="B14" s="2" t="s">
        <v>66</v>
      </c>
      <c r="C14" s="2" t="s">
        <v>67</v>
      </c>
      <c r="D14" s="2" t="s">
        <v>68</v>
      </c>
      <c r="E14" s="13">
        <v>34</v>
      </c>
      <c r="F14" s="14">
        <v>1983</v>
      </c>
      <c r="G14" s="15" t="s">
        <v>69</v>
      </c>
    </row>
    <row r="15" s="9" customFormat="1" ht="120" customHeight="1" spans="1:7">
      <c r="A15" s="2" t="s">
        <v>70</v>
      </c>
      <c r="B15" s="2" t="s">
        <v>71</v>
      </c>
      <c r="C15" s="2" t="s">
        <v>72</v>
      </c>
      <c r="D15" s="2" t="s">
        <v>73</v>
      </c>
      <c r="E15" s="13">
        <v>26</v>
      </c>
      <c r="F15" s="14">
        <v>2009</v>
      </c>
      <c r="G15" s="15" t="s">
        <v>74</v>
      </c>
    </row>
    <row r="16" s="9" customFormat="1" ht="120" customHeight="1" spans="1:7">
      <c r="A16" s="2" t="s">
        <v>75</v>
      </c>
      <c r="B16" s="2" t="s">
        <v>76</v>
      </c>
      <c r="C16" s="2" t="s">
        <v>77</v>
      </c>
      <c r="D16" s="2" t="s">
        <v>78</v>
      </c>
      <c r="E16" s="13">
        <v>32</v>
      </c>
      <c r="F16" s="14">
        <v>2008</v>
      </c>
      <c r="G16" s="15" t="s">
        <v>79</v>
      </c>
    </row>
    <row r="17" s="9" customFormat="1" ht="120" customHeight="1" spans="1:7">
      <c r="A17" s="2" t="s">
        <v>80</v>
      </c>
      <c r="B17" s="2" t="s">
        <v>81</v>
      </c>
      <c r="C17" s="2" t="s">
        <v>82</v>
      </c>
      <c r="D17" s="2" t="s">
        <v>58</v>
      </c>
      <c r="E17" s="13">
        <v>39</v>
      </c>
      <c r="F17" s="14">
        <v>2006</v>
      </c>
      <c r="G17" s="15" t="s">
        <v>83</v>
      </c>
    </row>
    <row r="18" s="9" customFormat="1" ht="120" customHeight="1" spans="1:7">
      <c r="A18" s="2" t="s">
        <v>84</v>
      </c>
      <c r="B18" s="2" t="s">
        <v>85</v>
      </c>
      <c r="C18" s="2" t="s">
        <v>86</v>
      </c>
      <c r="D18" s="2" t="s">
        <v>25</v>
      </c>
      <c r="E18" s="13">
        <v>42</v>
      </c>
      <c r="F18" s="14">
        <v>1999</v>
      </c>
      <c r="G18" s="15" t="s">
        <v>87</v>
      </c>
    </row>
    <row r="19" s="9" customFormat="1" ht="120" customHeight="1" spans="1:7">
      <c r="A19" s="2" t="s">
        <v>88</v>
      </c>
      <c r="B19" s="2" t="s">
        <v>89</v>
      </c>
      <c r="C19" s="2" t="s">
        <v>90</v>
      </c>
      <c r="D19" s="2" t="s">
        <v>91</v>
      </c>
      <c r="E19" s="13">
        <v>16</v>
      </c>
      <c r="F19" s="14">
        <v>1999</v>
      </c>
      <c r="G19" s="15" t="s">
        <v>92</v>
      </c>
    </row>
    <row r="20" s="9" customFormat="1" ht="120" customHeight="1" spans="1:7">
      <c r="A20" s="2" t="s">
        <v>93</v>
      </c>
      <c r="B20" s="2" t="s">
        <v>94</v>
      </c>
      <c r="C20" s="2" t="s">
        <v>95</v>
      </c>
      <c r="D20" s="2" t="s">
        <v>96</v>
      </c>
      <c r="E20" s="13">
        <v>16</v>
      </c>
      <c r="F20" s="14">
        <v>2009</v>
      </c>
      <c r="G20" s="15" t="s">
        <v>97</v>
      </c>
    </row>
    <row r="21" s="9" customFormat="1" ht="120" customHeight="1" spans="1:7">
      <c r="A21" s="2" t="s">
        <v>98</v>
      </c>
      <c r="B21" s="2" t="s">
        <v>99</v>
      </c>
      <c r="C21" s="2" t="s">
        <v>100</v>
      </c>
      <c r="D21" s="2" t="s">
        <v>15</v>
      </c>
      <c r="E21" s="13">
        <v>29</v>
      </c>
      <c r="F21" s="14">
        <v>2011</v>
      </c>
      <c r="G21" s="15" t="s">
        <v>101</v>
      </c>
    </row>
    <row r="22" s="9" customFormat="1" ht="120" customHeight="1" spans="1:7">
      <c r="A22" s="2" t="s">
        <v>102</v>
      </c>
      <c r="B22" s="2" t="s">
        <v>103</v>
      </c>
      <c r="C22" s="2" t="s">
        <v>104</v>
      </c>
      <c r="D22" s="2" t="s">
        <v>15</v>
      </c>
      <c r="E22" s="13">
        <v>6</v>
      </c>
      <c r="F22" s="14">
        <v>2020</v>
      </c>
      <c r="G22" s="15" t="s">
        <v>105</v>
      </c>
    </row>
    <row r="23" s="9" customFormat="1" ht="120" customHeight="1" spans="1:7">
      <c r="A23" s="2" t="s">
        <v>106</v>
      </c>
      <c r="B23" s="2" t="s">
        <v>107</v>
      </c>
      <c r="C23" s="2" t="s">
        <v>108</v>
      </c>
      <c r="D23" s="2" t="s">
        <v>91</v>
      </c>
      <c r="E23" s="13">
        <v>53</v>
      </c>
      <c r="F23" s="14">
        <v>1996</v>
      </c>
      <c r="G23" s="15" t="s">
        <v>109</v>
      </c>
    </row>
    <row r="24" s="9" customFormat="1" ht="120" customHeight="1" spans="1:7">
      <c r="A24" s="2" t="s">
        <v>110</v>
      </c>
      <c r="B24" s="2" t="s">
        <v>111</v>
      </c>
      <c r="C24" s="2" t="s">
        <v>112</v>
      </c>
      <c r="D24" s="2" t="s">
        <v>15</v>
      </c>
      <c r="E24" s="13">
        <v>29</v>
      </c>
      <c r="F24" s="14">
        <v>2006</v>
      </c>
      <c r="G24" s="15" t="s">
        <v>113</v>
      </c>
    </row>
    <row r="25" s="9" customFormat="1" ht="120" customHeight="1" spans="1:7">
      <c r="A25" s="2" t="s">
        <v>114</v>
      </c>
      <c r="B25" s="2" t="s">
        <v>115</v>
      </c>
      <c r="C25" s="2" t="s">
        <v>116</v>
      </c>
      <c r="D25" s="2" t="s">
        <v>117</v>
      </c>
      <c r="E25" s="13">
        <v>41</v>
      </c>
      <c r="F25" s="14">
        <v>1988</v>
      </c>
      <c r="G25" s="15" t="s">
        <v>118</v>
      </c>
    </row>
    <row r="26" s="9" customFormat="1" ht="120" customHeight="1" spans="1:7">
      <c r="A26" s="2" t="s">
        <v>119</v>
      </c>
      <c r="B26" s="2" t="s">
        <v>120</v>
      </c>
      <c r="C26" s="2" t="s">
        <v>121</v>
      </c>
      <c r="D26" s="2" t="s">
        <v>35</v>
      </c>
      <c r="E26" s="13">
        <v>31</v>
      </c>
      <c r="F26" s="14">
        <v>2017</v>
      </c>
      <c r="G26" s="15" t="s">
        <v>122</v>
      </c>
    </row>
    <row r="27" s="9" customFormat="1" ht="120" customHeight="1" spans="1:7">
      <c r="A27" s="2" t="s">
        <v>123</v>
      </c>
      <c r="B27" s="2" t="s">
        <v>124</v>
      </c>
      <c r="C27" s="2" t="s">
        <v>125</v>
      </c>
      <c r="D27" s="2" t="s">
        <v>15</v>
      </c>
      <c r="E27" s="13">
        <v>13</v>
      </c>
      <c r="F27" s="14">
        <v>2008</v>
      </c>
      <c r="G27" s="15" t="s">
        <v>126</v>
      </c>
    </row>
    <row r="28" s="9" customFormat="1" ht="120" customHeight="1" spans="1:7">
      <c r="A28" s="2" t="s">
        <v>127</v>
      </c>
      <c r="B28" s="2" t="s">
        <v>128</v>
      </c>
      <c r="C28" s="2" t="s">
        <v>129</v>
      </c>
      <c r="D28" s="2" t="s">
        <v>20</v>
      </c>
      <c r="E28" s="13">
        <v>9</v>
      </c>
      <c r="F28" s="14">
        <v>2018</v>
      </c>
      <c r="G28" s="17" t="s">
        <v>130</v>
      </c>
    </row>
    <row r="29" s="9" customFormat="1" ht="120" customHeight="1" spans="1:7">
      <c r="A29" s="2" t="s">
        <v>131</v>
      </c>
      <c r="B29" s="2" t="s">
        <v>132</v>
      </c>
      <c r="C29" s="2" t="s">
        <v>14</v>
      </c>
      <c r="D29" s="2" t="s">
        <v>15</v>
      </c>
      <c r="E29" s="13">
        <v>35</v>
      </c>
      <c r="F29" s="14">
        <v>2006</v>
      </c>
      <c r="G29" s="15" t="s">
        <v>133</v>
      </c>
    </row>
    <row r="30" s="9" customFormat="1" ht="120" customHeight="1" spans="1:7">
      <c r="A30" s="2" t="s">
        <v>134</v>
      </c>
      <c r="B30" s="2" t="s">
        <v>135</v>
      </c>
      <c r="C30" s="2" t="s">
        <v>136</v>
      </c>
      <c r="D30" s="2" t="s">
        <v>15</v>
      </c>
      <c r="E30" s="13">
        <v>18</v>
      </c>
      <c r="F30" s="14">
        <v>2009</v>
      </c>
      <c r="G30" s="15" t="s">
        <v>137</v>
      </c>
    </row>
    <row r="31" s="9" customFormat="1" ht="120" customHeight="1" spans="1:7">
      <c r="A31" s="2" t="s">
        <v>138</v>
      </c>
      <c r="B31" s="2" t="s">
        <v>139</v>
      </c>
      <c r="C31" s="2" t="s">
        <v>140</v>
      </c>
      <c r="D31" s="2" t="s">
        <v>141</v>
      </c>
      <c r="E31" s="13">
        <v>32</v>
      </c>
      <c r="F31" s="14">
        <v>2007</v>
      </c>
      <c r="G31" s="15" t="s">
        <v>142</v>
      </c>
    </row>
    <row r="32" s="9" customFormat="1" ht="120" customHeight="1" spans="1:7">
      <c r="A32" s="2" t="s">
        <v>143</v>
      </c>
      <c r="B32" s="2" t="s">
        <v>144</v>
      </c>
      <c r="C32" s="2" t="s">
        <v>145</v>
      </c>
      <c r="D32" s="2" t="s">
        <v>15</v>
      </c>
      <c r="E32" s="13">
        <v>5</v>
      </c>
      <c r="F32" s="14">
        <v>2018</v>
      </c>
      <c r="G32" s="15" t="s">
        <v>146</v>
      </c>
    </row>
    <row r="33" s="9" customFormat="1" ht="120" customHeight="1" spans="1:7">
      <c r="A33" s="2" t="s">
        <v>147</v>
      </c>
      <c r="B33" s="2" t="s">
        <v>148</v>
      </c>
      <c r="C33" s="2" t="s">
        <v>149</v>
      </c>
      <c r="D33" s="2" t="s">
        <v>15</v>
      </c>
      <c r="E33" s="13">
        <v>12</v>
      </c>
      <c r="F33" s="14">
        <v>2013</v>
      </c>
      <c r="G33" s="15" t="s">
        <v>150</v>
      </c>
    </row>
    <row r="34" s="9" customFormat="1" ht="120" customHeight="1" spans="1:7">
      <c r="A34" s="2" t="s">
        <v>151</v>
      </c>
      <c r="B34" s="2" t="s">
        <v>152</v>
      </c>
      <c r="C34" s="2" t="s">
        <v>153</v>
      </c>
      <c r="D34" s="2" t="s">
        <v>15</v>
      </c>
      <c r="E34" s="13">
        <v>8</v>
      </c>
      <c r="F34" s="14">
        <v>2020</v>
      </c>
      <c r="G34" s="15" t="s">
        <v>154</v>
      </c>
    </row>
    <row r="35" s="9" customFormat="1" ht="120" customHeight="1" spans="1:7">
      <c r="A35" s="2" t="s">
        <v>155</v>
      </c>
      <c r="B35" s="2" t="s">
        <v>156</v>
      </c>
      <c r="C35" s="2" t="s">
        <v>157</v>
      </c>
      <c r="D35" s="2" t="s">
        <v>117</v>
      </c>
      <c r="E35" s="13">
        <v>36</v>
      </c>
      <c r="F35" s="14">
        <v>2005</v>
      </c>
      <c r="G35" s="15" t="s">
        <v>158</v>
      </c>
    </row>
    <row r="36" s="9" customFormat="1" spans="1:7">
      <c r="F36" s="18"/>
    </row>
    <row r="37" s="9" customFormat="1" spans="1:7">
      <c r="F37" s="18"/>
    </row>
  </sheetData>
  <hyperlinks>
    <hyperlink ref="G2" r:id="rId2" display="https://www.webofscience.com/wos/author/record/1487432" tooltip="https://www.webofscience.com/wos/author/record/1487432"/>
    <hyperlink ref="G4" r:id="rId3" display="https://www.webofscience.com/wos/author/record/29604998" tooltip="https://www.webofscience.com/wos/author/record/29604998"/>
    <hyperlink ref="G5" r:id="rId4" display="https://www.webofscience.com/wos/author/record/7301396" tooltip="https://www.webofscience.com/wos/author/record/7301396"/>
    <hyperlink ref="G6" r:id="rId5" display="https://www.scopus.com/authid/detail.uri?authorId=57196143709" tooltip="https://www.scopus.com/authid/detail.uri?authorId=57196143709"/>
    <hyperlink ref="G3" r:id="rId6" display="https://www.webofscience.com/wos/author/record/859024" tooltip="https://www.webofscience.com/wos/author/record/859024"/>
    <hyperlink ref="G7" r:id="rId7" display="https://www.webofscience.com/wos/author/record/D-5989-2015" tooltip="https://www.webofscience.com/wos/author/record/D-5989-2015"/>
    <hyperlink ref="G8" r:id="rId8" display="https://www.webofscience.com/wos/author/record/I-3851-2016" tooltip="https://www.webofscience.com/wos/author/record/I-3851-2016"/>
    <hyperlink ref="G9" r:id="rId9" display="https://www.webofscience.com/wos/author/record/15694192" tooltip="https://www.webofscience.com/wos/author/record/15694192"/>
    <hyperlink ref="G10" r:id="rId10" display="https://www.webofscience.com/wos/author/record/1902862" tooltip="https://www.webofscience.com/wos/author/record/1902862"/>
    <hyperlink ref="G11" r:id="rId11" display="https://www.webofscience.com/wos/author/record/E-9092-2016" tooltip="https://www.webofscience.com/wos/author/record/E-9092-2016"/>
    <hyperlink ref="G12" r:id="rId12" display="https://www.webofscience.com/wos/author/record/1511359" tooltip="https://www.webofscience.com/wos/author/record/1511359"/>
    <hyperlink ref="G13" r:id="rId13" display="https://www.webofscience.com/wos/author/record/S-6798-2016" tooltip="https://www.webofscience.com/wos/author/record/S-6798-2016"/>
    <hyperlink ref="G14" r:id="rId14" display="https://www.webofscience.com/wos/author/record/690144" tooltip="https://www.webofscience.com/wos/author/record/690144"/>
    <hyperlink ref="G15" r:id="rId15" display="https://www.webofscience.com/wos/author/record/B-3573-2012" tooltip="https://www.webofscience.com/wos/author/record/B-3573-2012"/>
    <hyperlink ref="G16" r:id="rId16" display="https://www.webofscience.com/wos/author/record/P-1094-2018" tooltip="https://www.webofscience.com/wos/author/record/P-1094-2018"/>
    <hyperlink ref="G17" r:id="rId17" display="https://www.webofscience.com/wos/author/record/I-9168-2017" tooltip="https://www.webofscience.com/wos/author/record/I-9168-2017"/>
    <hyperlink ref="G18" r:id="rId18" display="https://www.webofscience.com/wos/author/record/1057789" tooltip="https://www.webofscience.com/wos/author/record/1057789"/>
    <hyperlink ref="G19" r:id="rId19" display="https://www.webofscience.com/wos/author/record/47879721" tooltip="https://www.webofscience.com/wos/author/record/47879721"/>
    <hyperlink ref="G20" r:id="rId20" display="https://www.webofscience.com/wos/author/record/13071917" tooltip="https://www.webofscience.com/wos/author/record/13071917"/>
    <hyperlink ref="G21" r:id="rId21" display="https://www.webofscience.com/wos/author/record/935522" tooltip="https://www.webofscience.com/wos/author/record/935522"/>
    <hyperlink ref="G22" r:id="rId22" display="https://www.webofscience.com/wos/author/record/28822890" tooltip="https://www.webofscience.com/wos/author/record/28822890"/>
    <hyperlink ref="G23" r:id="rId23" display="https://www.webofscience.com/wos/author/record/188277" tooltip="https://www.webofscience.com/wos/author/record/188277"/>
    <hyperlink ref="G24" r:id="rId24" display="https://www.webofscience.com/wos/author/record/72276332" tooltip="https://www.webofscience.com/wos/author/record/72276332"/>
    <hyperlink ref="G25" r:id="rId25" display="https://www.webofscience.com/wos/author/record/1306989" tooltip="https://www.webofscience.com/wos/author/record/1306989"/>
    <hyperlink ref="G26" r:id="rId26" display="https://www.webofscience.com/wos/author/record/2347743" tooltip="https://www.webofscience.com/wos/author/record/2347743"/>
    <hyperlink ref="G27" r:id="rId27" display="https://www.webofscience.com/wos/author/record/946363" tooltip="https://www.webofscience.com/wos/author/record/946363"/>
    <hyperlink ref="G28" r:id="rId28" display="https://www.webofscience.com/wos/author/record/29688228" tooltip="https://www.webofscience.com/wos/author/record/29688228"/>
    <hyperlink ref="G29" r:id="rId29" display="https://www.webofscience.com/wos/author/record/29292189" tooltip="https://www.webofscience.com/wos/author/record/29292189"/>
    <hyperlink ref="G30" r:id="rId30" display="https://www.webofscience.com/wos/author/record/32855529" tooltip="https://www.webofscience.com/wos/author/record/32855529"/>
    <hyperlink ref="G31" r:id="rId31" display="https://www.webofscience.com/wos/author/record/23371906" tooltip="https://www.webofscience.com/wos/author/record/23371906"/>
    <hyperlink ref="G32" r:id="rId32" display="https://www.webofscience.com/wos/author/record/10820846" tooltip="https://www.webofscience.com/wos/author/record/10820846"/>
    <hyperlink ref="G33" r:id="rId33" display="https://www.webofscience.com/wos/author/record/28000257" tooltip="https://www.webofscience.com/wos/author/record/28000257"/>
    <hyperlink ref="G34" r:id="rId34" display="https://www.webofscience.com/wos/author/record/32493823" tooltip="https://www.webofscience.com/wos/author/record/32493823"/>
    <hyperlink ref="G35" r:id="rId35" display="https://www.webofscience.com/wos/author/record/P-1455-2014" tooltip="https://www.webofscience.com/wos/author/record/P-1455-2014"/>
  </hyperlink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8" outlineLevelCol="5"/>
  <cols>
    <col min="1" max="1" width="36" customWidth="1"/>
    <col min="2" max="2" width="28" customWidth="1"/>
    <col min="3" max="4" width="19" customWidth="1"/>
    <col min="5" max="6" width="16" customWidth="1"/>
  </cols>
  <sheetData>
    <row r="1" ht="42" customHeight="1" spans="1:6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</row>
    <row r="2" ht="34" customHeight="1" spans="1:6">
      <c r="A2" s="2" t="s">
        <v>165</v>
      </c>
      <c r="B2" s="2">
        <v>34</v>
      </c>
      <c r="C2" s="2"/>
      <c r="D2" s="2"/>
      <c r="E2" s="2"/>
      <c r="F2" s="2"/>
    </row>
    <row r="3" ht="34" customHeight="1" spans="1:6">
      <c r="A3" s="3" t="s">
        <v>166</v>
      </c>
      <c r="B3" s="3">
        <v>27</v>
      </c>
      <c r="C3" s="3"/>
      <c r="D3" s="3"/>
      <c r="E3" s="3"/>
      <c r="F3" s="3"/>
    </row>
    <row r="4" ht="34" customHeight="1" spans="1:6">
      <c r="A4" s="2" t="s">
        <v>167</v>
      </c>
      <c r="B4" s="2">
        <v>27</v>
      </c>
      <c r="C4" s="2"/>
      <c r="D4" s="2"/>
      <c r="E4" s="2"/>
      <c r="F4" s="2"/>
    </row>
    <row r="5" ht="34" customHeight="1" spans="1:6">
      <c r="A5" s="3" t="s">
        <v>168</v>
      </c>
      <c r="B5" s="3">
        <v>0</v>
      </c>
      <c r="C5" s="3"/>
      <c r="D5" s="3"/>
      <c r="E5" s="3"/>
      <c r="F5" s="3"/>
    </row>
    <row r="6" ht="34" customHeight="1" spans="1:6">
      <c r="A6" s="2" t="s">
        <v>169</v>
      </c>
      <c r="B6" s="2">
        <v>7</v>
      </c>
      <c r="C6" s="2"/>
      <c r="D6" s="2"/>
      <c r="E6" s="2"/>
      <c r="F6" s="2"/>
    </row>
    <row r="7" ht="34" customHeight="1" spans="1:6">
      <c r="A7" s="3" t="s">
        <v>170</v>
      </c>
      <c r="B7" s="3">
        <v>32</v>
      </c>
      <c r="C7" s="3"/>
      <c r="D7" s="3"/>
      <c r="E7" s="3"/>
      <c r="F7" s="3"/>
    </row>
    <row r="8" ht="34" customHeight="1" spans="1:6">
      <c r="A8" s="2" t="s">
        <v>4</v>
      </c>
      <c r="B8" s="2">
        <f>COUNT(Academic_metrics!E2:E35)</f>
        <v>33</v>
      </c>
      <c r="C8" s="7">
        <f>AVERAGE(Academic_metrics!E2:E35)</f>
        <v>25.5454545454545</v>
      </c>
      <c r="D8" s="7">
        <f>MEDIAN(Academic_metrics!E2:E35)</f>
        <v>26</v>
      </c>
      <c r="E8" s="2">
        <f>MIN(Academic_metrics!E2:E35)</f>
        <v>5</v>
      </c>
      <c r="F8" s="2">
        <f>MAX(Academic_metrics!E2:E35)</f>
        <v>53</v>
      </c>
    </row>
    <row r="9" ht="34" customHeight="1" spans="1:6">
      <c r="A9" s="3" t="s">
        <v>171</v>
      </c>
      <c r="B9" s="3">
        <f>COUNT(Academic_metrics!#REF!)</f>
        <v>0</v>
      </c>
      <c r="C9" s="8" t="e">
        <f>AVERAGE(Academic_metrics!#REF!)</f>
        <v>#REF!</v>
      </c>
      <c r="D9" s="8" t="e">
        <f>MEDIAN(Academic_metrics!#REF!)</f>
        <v>#REF!</v>
      </c>
      <c r="E9" s="3" t="e">
        <f>MIN(Academic_metrics!#REF!)</f>
        <v>#REF!</v>
      </c>
      <c r="F9" s="3" t="e">
        <f>MAX(Academic_metrics!#REF!)</f>
        <v>#REF!</v>
      </c>
    </row>
    <row r="10" ht="34" customHeight="1" spans="1:6">
      <c r="A10" s="2" t="s">
        <v>172</v>
      </c>
      <c r="B10" s="2">
        <f>COUNT(Academic_metrics!#REF!)</f>
        <v>0</v>
      </c>
      <c r="C10" s="7" t="e">
        <f>AVERAGE(Academic_metrics!#REF!)</f>
        <v>#REF!</v>
      </c>
      <c r="D10" s="7" t="e">
        <f>MEDIAN(Academic_metrics!#REF!)</f>
        <v>#REF!</v>
      </c>
      <c r="E10" s="2" t="e">
        <f>MIN(Academic_metrics!#REF!)</f>
        <v>#REF!</v>
      </c>
      <c r="F10" s="2" t="e">
        <f>MAX(Academic_metrics!#REF!)</f>
        <v>#REF!</v>
      </c>
    </row>
    <row r="11" ht="34" customHeight="1" spans="1:6">
      <c r="A11" s="3" t="s">
        <v>173</v>
      </c>
      <c r="B11" s="3" t="s">
        <v>174</v>
      </c>
      <c r="C11" s="3"/>
      <c r="D11" s="3"/>
      <c r="E11" s="3"/>
      <c r="F11" s="3"/>
    </row>
    <row r="12" ht="60" customHeight="1" spans="1:6">
      <c r="A12" s="2" t="s">
        <v>175</v>
      </c>
      <c r="B12" s="2" t="s">
        <v>176</v>
      </c>
      <c r="C12" s="2"/>
      <c r="D12" s="2"/>
      <c r="E12" s="2"/>
      <c r="F12" s="2"/>
    </row>
    <row r="13" ht="60" customHeight="1" spans="1:6">
      <c r="A13" s="3" t="s">
        <v>177</v>
      </c>
      <c r="B13" s="3" t="s">
        <v>178</v>
      </c>
      <c r="C13" s="3"/>
      <c r="D13" s="3"/>
      <c r="E13" s="3"/>
      <c r="F13" s="3"/>
    </row>
    <row r="14" ht="60" customHeight="1" spans="1:6">
      <c r="A14" s="2" t="s">
        <v>179</v>
      </c>
      <c r="B14" s="2" t="s">
        <v>180</v>
      </c>
      <c r="C14" s="2"/>
      <c r="D14" s="2"/>
      <c r="E14" s="2"/>
      <c r="F14" s="2"/>
    </row>
    <row r="15" ht="60" customHeight="1" spans="1:6">
      <c r="A15" s="3" t="s">
        <v>181</v>
      </c>
      <c r="B15" s="3" t="s">
        <v>182</v>
      </c>
      <c r="C15" s="3"/>
      <c r="D15" s="3"/>
      <c r="E15" s="3"/>
      <c r="F15" s="3"/>
    </row>
    <row r="16" ht="60" customHeight="1" spans="1:6">
      <c r="A16" s="2" t="s">
        <v>183</v>
      </c>
      <c r="B16" s="2" t="s">
        <v>184</v>
      </c>
      <c r="C16" s="2"/>
      <c r="D16" s="2"/>
      <c r="E16" s="2"/>
      <c r="F16" s="2"/>
    </row>
    <row r="17" ht="60" customHeight="1" spans="1:6">
      <c r="A17" s="3" t="s">
        <v>185</v>
      </c>
      <c r="B17" s="3" t="s">
        <v>186</v>
      </c>
      <c r="C17" s="3"/>
      <c r="D17" s="3"/>
      <c r="E17" s="3"/>
      <c r="F17" s="3"/>
    </row>
    <row r="18" ht="60" customHeight="1" spans="1:6">
      <c r="A18" s="2" t="s">
        <v>187</v>
      </c>
      <c r="B18" s="2" t="s">
        <v>188</v>
      </c>
      <c r="C18" s="2"/>
      <c r="D18" s="2"/>
      <c r="E18" s="2"/>
      <c r="F18" s="2"/>
    </row>
  </sheetData>
  <mergeCells count="7">
    <mergeCell ref="B12:F12"/>
    <mergeCell ref="B13:F13"/>
    <mergeCell ref="B14:F14"/>
    <mergeCell ref="B15:F15"/>
    <mergeCell ref="B16:F16"/>
    <mergeCell ref="B17:F17"/>
    <mergeCell ref="B18:F1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8" outlineLevelCol="6"/>
  <cols>
    <col min="1" max="1" width="26" customWidth="1"/>
    <col min="2" max="2" width="15" customWidth="1"/>
    <col min="3" max="3" width="28" customWidth="1"/>
    <col min="4" max="4" width="85" customWidth="1"/>
    <col min="5" max="5" width="12" customWidth="1"/>
    <col min="6" max="6" width="85" customWidth="1"/>
    <col min="7" max="7" width="100" customWidth="1"/>
  </cols>
  <sheetData>
    <row r="1" ht="42" customHeight="1" spans="1:7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</row>
    <row r="2" ht="140" customHeight="1" spans="1:7">
      <c r="A2" s="2" t="s">
        <v>7</v>
      </c>
      <c r="B2" s="2" t="s">
        <v>195</v>
      </c>
      <c r="C2" s="2" t="s">
        <v>10</v>
      </c>
      <c r="D2" s="2" t="s">
        <v>196</v>
      </c>
      <c r="E2" s="2" t="s">
        <v>197</v>
      </c>
      <c r="F2" s="2" t="s">
        <v>198</v>
      </c>
      <c r="G2" s="2" t="s">
        <v>199</v>
      </c>
    </row>
    <row r="3" ht="140" customHeight="1" spans="1:7">
      <c r="A3" s="3" t="s">
        <v>12</v>
      </c>
      <c r="B3" s="3" t="s">
        <v>195</v>
      </c>
      <c r="C3" s="3" t="s">
        <v>15</v>
      </c>
      <c r="D3" s="3" t="s">
        <v>200</v>
      </c>
      <c r="E3" s="3" t="s">
        <v>201</v>
      </c>
      <c r="F3" s="3" t="s">
        <v>202</v>
      </c>
      <c r="G3" s="3" t="s">
        <v>203</v>
      </c>
    </row>
    <row r="4" ht="140" customHeight="1" spans="1:7">
      <c r="A4" s="2" t="s">
        <v>17</v>
      </c>
      <c r="B4" s="2" t="s">
        <v>204</v>
      </c>
      <c r="C4" s="2" t="s">
        <v>20</v>
      </c>
      <c r="D4" s="2" t="s">
        <v>205</v>
      </c>
      <c r="E4" s="2" t="s">
        <v>201</v>
      </c>
      <c r="F4" s="2" t="s">
        <v>206</v>
      </c>
      <c r="G4" s="2" t="s">
        <v>207</v>
      </c>
    </row>
    <row r="5" ht="140" customHeight="1" spans="1:7">
      <c r="A5" s="3" t="s">
        <v>22</v>
      </c>
      <c r="B5" s="3" t="s">
        <v>204</v>
      </c>
      <c r="C5" s="3" t="s">
        <v>25</v>
      </c>
      <c r="D5" s="3" t="s">
        <v>208</v>
      </c>
      <c r="E5" s="3" t="s">
        <v>201</v>
      </c>
      <c r="F5" s="3" t="s">
        <v>209</v>
      </c>
      <c r="G5" s="3" t="s">
        <v>210</v>
      </c>
    </row>
    <row r="6" ht="140" customHeight="1" spans="1:7">
      <c r="A6" s="2" t="s">
        <v>27</v>
      </c>
      <c r="B6" s="2" t="s">
        <v>195</v>
      </c>
      <c r="C6" s="2" t="s">
        <v>15</v>
      </c>
      <c r="D6" s="2" t="s">
        <v>211</v>
      </c>
      <c r="E6" s="2" t="s">
        <v>197</v>
      </c>
      <c r="F6" s="2" t="s">
        <v>212</v>
      </c>
      <c r="G6" s="2" t="s">
        <v>213</v>
      </c>
    </row>
    <row r="7" ht="140" customHeight="1" spans="1:7">
      <c r="A7" s="3" t="s">
        <v>32</v>
      </c>
      <c r="B7" s="3" t="s">
        <v>195</v>
      </c>
      <c r="C7" s="3" t="s">
        <v>35</v>
      </c>
      <c r="D7" s="3" t="s">
        <v>214</v>
      </c>
      <c r="E7" s="3" t="s">
        <v>197</v>
      </c>
      <c r="F7" s="3" t="s">
        <v>215</v>
      </c>
      <c r="G7" s="3" t="s">
        <v>216</v>
      </c>
    </row>
    <row r="8" ht="140" customHeight="1" spans="1:7">
      <c r="A8" s="2" t="s">
        <v>37</v>
      </c>
      <c r="B8" s="2" t="s">
        <v>195</v>
      </c>
      <c r="C8" s="2" t="s">
        <v>217</v>
      </c>
      <c r="D8" s="2"/>
      <c r="E8" s="2" t="s">
        <v>201</v>
      </c>
      <c r="F8" s="2" t="s">
        <v>218</v>
      </c>
      <c r="G8" s="2" t="s">
        <v>219</v>
      </c>
    </row>
    <row r="9" ht="140" customHeight="1" spans="1:7">
      <c r="A9" s="3" t="s">
        <v>42</v>
      </c>
      <c r="B9" s="3" t="s">
        <v>195</v>
      </c>
      <c r="C9" s="3" t="s">
        <v>45</v>
      </c>
      <c r="D9" s="3" t="s">
        <v>220</v>
      </c>
      <c r="E9" s="3" t="s">
        <v>201</v>
      </c>
      <c r="F9" s="3" t="s">
        <v>221</v>
      </c>
      <c r="G9" s="3" t="s">
        <v>222</v>
      </c>
    </row>
    <row r="10" ht="140" customHeight="1" spans="1:7">
      <c r="A10" s="2" t="s">
        <v>47</v>
      </c>
      <c r="B10" s="2" t="s">
        <v>195</v>
      </c>
      <c r="C10" s="2" t="s">
        <v>15</v>
      </c>
      <c r="D10" s="2" t="s">
        <v>223</v>
      </c>
      <c r="E10" s="2" t="s">
        <v>201</v>
      </c>
      <c r="F10" s="2" t="s">
        <v>224</v>
      </c>
      <c r="G10" s="2" t="s">
        <v>225</v>
      </c>
    </row>
    <row r="11" ht="140" customHeight="1" spans="1:7">
      <c r="A11" s="3" t="s">
        <v>51</v>
      </c>
      <c r="B11" s="3" t="s">
        <v>195</v>
      </c>
      <c r="C11" s="3" t="s">
        <v>25</v>
      </c>
      <c r="D11" s="3" t="s">
        <v>226</v>
      </c>
      <c r="E11" s="3" t="s">
        <v>201</v>
      </c>
      <c r="F11" s="3" t="s">
        <v>227</v>
      </c>
      <c r="G11" s="3" t="s">
        <v>228</v>
      </c>
    </row>
    <row r="12" ht="140" customHeight="1" spans="1:7">
      <c r="A12" s="2" t="s">
        <v>55</v>
      </c>
      <c r="B12" s="2" t="s">
        <v>195</v>
      </c>
      <c r="C12" s="2" t="s">
        <v>58</v>
      </c>
      <c r="D12" s="2" t="s">
        <v>229</v>
      </c>
      <c r="E12" s="2" t="s">
        <v>197</v>
      </c>
      <c r="F12" s="2" t="s">
        <v>230</v>
      </c>
      <c r="G12" s="2" t="s">
        <v>231</v>
      </c>
    </row>
    <row r="13" ht="140" customHeight="1" spans="1:7">
      <c r="A13" s="3" t="s">
        <v>60</v>
      </c>
      <c r="B13" s="3" t="s">
        <v>195</v>
      </c>
      <c r="C13" s="3" t="s">
        <v>63</v>
      </c>
      <c r="D13" s="3" t="s">
        <v>232</v>
      </c>
      <c r="E13" s="3" t="s">
        <v>201</v>
      </c>
      <c r="F13" s="3" t="s">
        <v>233</v>
      </c>
      <c r="G13" s="3" t="s">
        <v>234</v>
      </c>
    </row>
    <row r="14" ht="140" customHeight="1" spans="1:7">
      <c r="A14" s="2" t="s">
        <v>65</v>
      </c>
      <c r="B14" s="2" t="s">
        <v>195</v>
      </c>
      <c r="C14" s="2" t="s">
        <v>68</v>
      </c>
      <c r="D14" s="2" t="s">
        <v>235</v>
      </c>
      <c r="E14" s="2" t="s">
        <v>197</v>
      </c>
      <c r="F14" s="2" t="s">
        <v>236</v>
      </c>
      <c r="G14" s="2" t="s">
        <v>237</v>
      </c>
    </row>
    <row r="15" ht="140" customHeight="1" spans="1:7">
      <c r="A15" s="3" t="s">
        <v>70</v>
      </c>
      <c r="B15" s="3" t="s">
        <v>195</v>
      </c>
      <c r="C15" s="3" t="s">
        <v>73</v>
      </c>
      <c r="D15" s="3" t="s">
        <v>238</v>
      </c>
      <c r="E15" s="3" t="s">
        <v>197</v>
      </c>
      <c r="F15" s="3" t="s">
        <v>239</v>
      </c>
      <c r="G15" s="3" t="s">
        <v>240</v>
      </c>
    </row>
    <row r="16" ht="140" customHeight="1" spans="1:7">
      <c r="A16" s="2" t="s">
        <v>75</v>
      </c>
      <c r="B16" s="2" t="s">
        <v>195</v>
      </c>
      <c r="C16" s="2" t="s">
        <v>78</v>
      </c>
      <c r="D16" s="2" t="s">
        <v>241</v>
      </c>
      <c r="E16" s="2" t="s">
        <v>201</v>
      </c>
      <c r="F16" s="2" t="s">
        <v>242</v>
      </c>
      <c r="G16" s="2" t="s">
        <v>243</v>
      </c>
    </row>
    <row r="17" ht="140" customHeight="1" spans="1:7">
      <c r="A17" s="3" t="s">
        <v>80</v>
      </c>
      <c r="B17" s="3" t="s">
        <v>204</v>
      </c>
      <c r="C17" s="3" t="s">
        <v>58</v>
      </c>
      <c r="D17" s="3" t="s">
        <v>244</v>
      </c>
      <c r="E17" s="3" t="s">
        <v>201</v>
      </c>
      <c r="F17" s="3" t="s">
        <v>245</v>
      </c>
      <c r="G17" s="3" t="s">
        <v>246</v>
      </c>
    </row>
    <row r="18" ht="140" customHeight="1" spans="1:7">
      <c r="A18" s="2" t="s">
        <v>84</v>
      </c>
      <c r="B18" s="2" t="s">
        <v>195</v>
      </c>
      <c r="C18" s="2" t="s">
        <v>25</v>
      </c>
      <c r="D18" s="2" t="s">
        <v>247</v>
      </c>
      <c r="E18" s="2" t="s">
        <v>201</v>
      </c>
      <c r="F18" s="2" t="s">
        <v>248</v>
      </c>
      <c r="G18" s="2" t="s">
        <v>249</v>
      </c>
    </row>
    <row r="19" ht="140" customHeight="1" spans="1:7">
      <c r="A19" s="3" t="s">
        <v>88</v>
      </c>
      <c r="B19" s="3" t="s">
        <v>204</v>
      </c>
      <c r="C19" s="3" t="s">
        <v>91</v>
      </c>
      <c r="D19" s="3" t="s">
        <v>250</v>
      </c>
      <c r="E19" s="3" t="s">
        <v>201</v>
      </c>
      <c r="F19" s="3" t="s">
        <v>251</v>
      </c>
      <c r="G19" s="3" t="s">
        <v>252</v>
      </c>
    </row>
    <row r="20" ht="140" customHeight="1" spans="1:7">
      <c r="A20" s="2" t="s">
        <v>93</v>
      </c>
      <c r="B20" s="2" t="s">
        <v>195</v>
      </c>
      <c r="C20" s="2" t="s">
        <v>96</v>
      </c>
      <c r="D20" s="2" t="s">
        <v>253</v>
      </c>
      <c r="E20" s="2" t="s">
        <v>201</v>
      </c>
      <c r="F20" s="2" t="s">
        <v>254</v>
      </c>
      <c r="G20" s="2" t="s">
        <v>255</v>
      </c>
    </row>
    <row r="21" ht="140" customHeight="1" spans="1:7">
      <c r="A21" s="3" t="s">
        <v>98</v>
      </c>
      <c r="B21" s="3" t="s">
        <v>195</v>
      </c>
      <c r="C21" s="3" t="s">
        <v>15</v>
      </c>
      <c r="D21" s="3" t="s">
        <v>256</v>
      </c>
      <c r="E21" s="3" t="s">
        <v>201</v>
      </c>
      <c r="F21" s="3" t="s">
        <v>257</v>
      </c>
      <c r="G21" s="3" t="s">
        <v>258</v>
      </c>
    </row>
    <row r="22" ht="140" customHeight="1" spans="1:7">
      <c r="A22" s="2" t="s">
        <v>102</v>
      </c>
      <c r="B22" s="2" t="s">
        <v>195</v>
      </c>
      <c r="C22" s="2" t="s">
        <v>15</v>
      </c>
      <c r="D22" s="2" t="s">
        <v>259</v>
      </c>
      <c r="E22" s="2" t="s">
        <v>201</v>
      </c>
      <c r="F22" s="2" t="s">
        <v>260</v>
      </c>
      <c r="G22" s="2" t="s">
        <v>261</v>
      </c>
    </row>
    <row r="23" ht="140" customHeight="1" spans="1:7">
      <c r="A23" s="3" t="s">
        <v>106</v>
      </c>
      <c r="B23" s="3" t="s">
        <v>195</v>
      </c>
      <c r="C23" s="3" t="s">
        <v>91</v>
      </c>
      <c r="D23" s="3" t="s">
        <v>108</v>
      </c>
      <c r="E23" s="3" t="s">
        <v>201</v>
      </c>
      <c r="F23" s="3" t="s">
        <v>262</v>
      </c>
      <c r="G23" s="3" t="s">
        <v>263</v>
      </c>
    </row>
    <row r="24" ht="140" customHeight="1" spans="1:7">
      <c r="A24" s="2" t="s">
        <v>110</v>
      </c>
      <c r="B24" s="2" t="s">
        <v>195</v>
      </c>
      <c r="C24" s="2" t="s">
        <v>15</v>
      </c>
      <c r="D24" s="2" t="s">
        <v>264</v>
      </c>
      <c r="E24" s="2" t="s">
        <v>197</v>
      </c>
      <c r="F24" s="2" t="s">
        <v>265</v>
      </c>
      <c r="G24" s="2" t="s">
        <v>266</v>
      </c>
    </row>
    <row r="25" ht="140" customHeight="1" spans="1:7">
      <c r="A25" s="3" t="s">
        <v>114</v>
      </c>
      <c r="B25" s="3" t="s">
        <v>195</v>
      </c>
      <c r="C25" s="3" t="s">
        <v>117</v>
      </c>
      <c r="D25" s="3" t="s">
        <v>267</v>
      </c>
      <c r="E25" s="3" t="s">
        <v>201</v>
      </c>
      <c r="F25" s="3" t="s">
        <v>268</v>
      </c>
      <c r="G25" s="3" t="s">
        <v>269</v>
      </c>
    </row>
    <row r="26" ht="140" customHeight="1" spans="1:7">
      <c r="A26" s="2" t="s">
        <v>119</v>
      </c>
      <c r="B26" s="2" t="s">
        <v>195</v>
      </c>
      <c r="C26" s="2" t="s">
        <v>35</v>
      </c>
      <c r="D26" s="2" t="s">
        <v>270</v>
      </c>
      <c r="E26" s="2" t="s">
        <v>197</v>
      </c>
      <c r="F26" s="2" t="s">
        <v>271</v>
      </c>
      <c r="G26" s="2" t="s">
        <v>272</v>
      </c>
    </row>
    <row r="27" ht="140" customHeight="1" spans="1:7">
      <c r="A27" s="3" t="s">
        <v>123</v>
      </c>
      <c r="B27" s="3" t="s">
        <v>195</v>
      </c>
      <c r="C27" s="3" t="s">
        <v>15</v>
      </c>
      <c r="D27" s="3" t="s">
        <v>273</v>
      </c>
      <c r="E27" s="3" t="s">
        <v>201</v>
      </c>
      <c r="F27" s="3" t="s">
        <v>274</v>
      </c>
      <c r="G27" s="3" t="s">
        <v>275</v>
      </c>
    </row>
    <row r="28" ht="140" customHeight="1" spans="1:7">
      <c r="A28" s="2" t="s">
        <v>127</v>
      </c>
      <c r="B28" s="2" t="s">
        <v>195</v>
      </c>
      <c r="C28" s="2" t="s">
        <v>20</v>
      </c>
      <c r="D28" s="2" t="s">
        <v>276</v>
      </c>
      <c r="E28" s="2" t="s">
        <v>201</v>
      </c>
      <c r="F28" s="2" t="s">
        <v>277</v>
      </c>
      <c r="G28" s="2" t="s">
        <v>278</v>
      </c>
    </row>
    <row r="29" ht="140" customHeight="1" spans="1:7">
      <c r="A29" s="3" t="s">
        <v>131</v>
      </c>
      <c r="B29" s="3" t="s">
        <v>195</v>
      </c>
      <c r="C29" s="3" t="s">
        <v>15</v>
      </c>
      <c r="D29" s="3" t="s">
        <v>200</v>
      </c>
      <c r="E29" s="3" t="s">
        <v>201</v>
      </c>
      <c r="F29" s="3" t="s">
        <v>279</v>
      </c>
      <c r="G29" s="3" t="s">
        <v>280</v>
      </c>
    </row>
    <row r="30" ht="140" customHeight="1" spans="1:7">
      <c r="A30" s="2" t="s">
        <v>134</v>
      </c>
      <c r="B30" s="2" t="s">
        <v>195</v>
      </c>
      <c r="C30" s="2" t="s">
        <v>15</v>
      </c>
      <c r="D30" s="2" t="s">
        <v>281</v>
      </c>
      <c r="E30" s="2" t="s">
        <v>201</v>
      </c>
      <c r="F30" s="2" t="s">
        <v>282</v>
      </c>
      <c r="G30" s="2" t="s">
        <v>283</v>
      </c>
    </row>
    <row r="31" ht="140" customHeight="1" spans="1:7">
      <c r="A31" s="3" t="s">
        <v>138</v>
      </c>
      <c r="B31" s="3" t="s">
        <v>195</v>
      </c>
      <c r="C31" s="3" t="s">
        <v>141</v>
      </c>
      <c r="D31" s="3" t="s">
        <v>284</v>
      </c>
      <c r="E31" s="3" t="s">
        <v>201</v>
      </c>
      <c r="F31" s="3" t="s">
        <v>285</v>
      </c>
      <c r="G31" s="3" t="s">
        <v>286</v>
      </c>
    </row>
    <row r="32" ht="140" customHeight="1" spans="1:7">
      <c r="A32" s="2" t="s">
        <v>143</v>
      </c>
      <c r="B32" s="2" t="s">
        <v>287</v>
      </c>
      <c r="C32" s="2" t="s">
        <v>15</v>
      </c>
      <c r="D32" s="2" t="s">
        <v>288</v>
      </c>
      <c r="E32" s="2" t="s">
        <v>197</v>
      </c>
      <c r="F32" s="2" t="s">
        <v>289</v>
      </c>
      <c r="G32" s="2" t="s">
        <v>290</v>
      </c>
    </row>
    <row r="33" ht="140" customHeight="1" spans="1:7">
      <c r="A33" s="3" t="s">
        <v>147</v>
      </c>
      <c r="B33" s="3" t="s">
        <v>287</v>
      </c>
      <c r="C33" s="3" t="s">
        <v>15</v>
      </c>
      <c r="D33" s="3" t="s">
        <v>149</v>
      </c>
      <c r="E33" s="3" t="s">
        <v>201</v>
      </c>
      <c r="F33" s="3" t="s">
        <v>291</v>
      </c>
      <c r="G33" s="3" t="s">
        <v>292</v>
      </c>
    </row>
    <row r="34" ht="140" customHeight="1" spans="1:7">
      <c r="A34" s="2" t="s">
        <v>151</v>
      </c>
      <c r="B34" s="2" t="s">
        <v>287</v>
      </c>
      <c r="C34" s="2" t="s">
        <v>15</v>
      </c>
      <c r="D34" s="2" t="s">
        <v>293</v>
      </c>
      <c r="E34" s="2" t="s">
        <v>201</v>
      </c>
      <c r="F34" s="2" t="s">
        <v>294</v>
      </c>
      <c r="G34" s="2" t="s">
        <v>295</v>
      </c>
    </row>
    <row r="35" ht="140" customHeight="1" spans="1:7">
      <c r="A35" s="3" t="s">
        <v>155</v>
      </c>
      <c r="B35" s="3" t="s">
        <v>287</v>
      </c>
      <c r="C35" s="3" t="s">
        <v>117</v>
      </c>
      <c r="D35" s="3" t="s">
        <v>296</v>
      </c>
      <c r="E35" s="3" t="s">
        <v>201</v>
      </c>
      <c r="F35" s="3" t="s">
        <v>297</v>
      </c>
      <c r="G35" s="3" t="s">
        <v>298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:H1"/>
    </sheetView>
  </sheetViews>
  <sheetFormatPr defaultColWidth="9" defaultRowHeight="13.8" outlineLevelCol="7"/>
  <cols>
    <col min="1" max="1" width="12" customWidth="1"/>
    <col min="2" max="2" width="26" customWidth="1"/>
    <col min="3" max="3" width="36" customWidth="1"/>
    <col min="4" max="4" width="15" customWidth="1"/>
    <col min="5" max="7" width="18" customWidth="1"/>
    <col min="8" max="8" width="65" customWidth="1"/>
  </cols>
  <sheetData>
    <row r="1" ht="42" customHeight="1" spans="1:8">
      <c r="A1" s="2" t="s">
        <v>299</v>
      </c>
      <c r="B1" s="2"/>
      <c r="C1" s="2"/>
      <c r="D1" s="2"/>
      <c r="E1" s="2"/>
      <c r="F1" s="2"/>
      <c r="G1" s="2"/>
      <c r="H1" s="2"/>
    </row>
    <row r="2" ht="42" customHeight="1" spans="1:8">
      <c r="A2" s="2" t="s">
        <v>300</v>
      </c>
      <c r="B2" s="2"/>
      <c r="C2" s="2"/>
      <c r="D2" s="2"/>
      <c r="E2" s="2"/>
      <c r="F2" s="2"/>
      <c r="G2" s="2"/>
      <c r="H2" s="2"/>
    </row>
    <row r="3" ht="42" customHeight="1" spans="1:8">
      <c r="A3" s="1" t="s">
        <v>301</v>
      </c>
      <c r="B3" s="1" t="s">
        <v>302</v>
      </c>
      <c r="C3" s="1" t="s">
        <v>303</v>
      </c>
      <c r="D3" s="1" t="s">
        <v>304</v>
      </c>
      <c r="E3" s="1" t="s">
        <v>305</v>
      </c>
      <c r="F3" s="1" t="s">
        <v>306</v>
      </c>
      <c r="G3" s="1" t="s">
        <v>307</v>
      </c>
      <c r="H3" s="1" t="s">
        <v>308</v>
      </c>
    </row>
    <row r="4" ht="70" customHeight="1" spans="1:8">
      <c r="A4" s="2" t="s">
        <v>309</v>
      </c>
      <c r="B4" s="2" t="s">
        <v>7</v>
      </c>
      <c r="C4" s="2" t="s">
        <v>8</v>
      </c>
      <c r="D4" s="2" t="s">
        <v>310</v>
      </c>
      <c r="E4" s="2"/>
      <c r="F4" s="2"/>
      <c r="G4" s="2"/>
      <c r="H4" s="2"/>
    </row>
    <row r="5" ht="70" customHeight="1" spans="1:8">
      <c r="A5" s="4" t="s">
        <v>311</v>
      </c>
      <c r="B5" s="4" t="s">
        <v>12</v>
      </c>
      <c r="C5" s="4" t="s">
        <v>13</v>
      </c>
      <c r="D5" s="4" t="s">
        <v>310</v>
      </c>
      <c r="E5" s="4" t="s">
        <v>312</v>
      </c>
      <c r="F5" s="4" t="s">
        <v>312</v>
      </c>
      <c r="G5" s="4"/>
      <c r="H5" s="4"/>
    </row>
    <row r="6" ht="70" customHeight="1" spans="1:8">
      <c r="A6" s="5" t="s">
        <v>313</v>
      </c>
      <c r="B6" s="5" t="s">
        <v>17</v>
      </c>
      <c r="C6" s="5" t="s">
        <v>18</v>
      </c>
      <c r="D6" s="5" t="s">
        <v>314</v>
      </c>
      <c r="E6" s="5" t="s">
        <v>312</v>
      </c>
      <c r="F6" s="5" t="s">
        <v>312</v>
      </c>
      <c r="G6" s="5" t="s">
        <v>312</v>
      </c>
      <c r="H6" s="5"/>
    </row>
    <row r="7" ht="70" customHeight="1" spans="1:8">
      <c r="A7" s="5" t="s">
        <v>315</v>
      </c>
      <c r="B7" s="5" t="s">
        <v>316</v>
      </c>
      <c r="C7" s="5" t="s">
        <v>23</v>
      </c>
      <c r="D7" s="5" t="s">
        <v>314</v>
      </c>
      <c r="E7" s="5" t="s">
        <v>312</v>
      </c>
      <c r="F7" s="5" t="s">
        <v>312</v>
      </c>
      <c r="G7" s="5" t="s">
        <v>312</v>
      </c>
      <c r="H7" s="5"/>
    </row>
    <row r="8" ht="70" customHeight="1" spans="1:8">
      <c r="A8" s="4" t="s">
        <v>317</v>
      </c>
      <c r="B8" s="4" t="s">
        <v>318</v>
      </c>
      <c r="C8" s="4" t="s">
        <v>28</v>
      </c>
      <c r="D8" s="4" t="s">
        <v>310</v>
      </c>
      <c r="E8" s="4" t="s">
        <v>312</v>
      </c>
      <c r="F8" s="4" t="s">
        <v>312</v>
      </c>
      <c r="G8" s="4"/>
      <c r="H8" s="4"/>
    </row>
    <row r="9" ht="70" customHeight="1" spans="1:8">
      <c r="A9" s="3" t="s">
        <v>319</v>
      </c>
      <c r="B9" s="3" t="s">
        <v>32</v>
      </c>
      <c r="C9" s="3" t="s">
        <v>33</v>
      </c>
      <c r="D9" s="3" t="s">
        <v>310</v>
      </c>
      <c r="E9" s="3"/>
      <c r="F9" s="3"/>
      <c r="G9" s="3"/>
      <c r="H9" s="3"/>
    </row>
    <row r="10" ht="70" customHeight="1" spans="1:8">
      <c r="A10" s="5" t="s">
        <v>320</v>
      </c>
      <c r="B10" s="5" t="s">
        <v>37</v>
      </c>
      <c r="C10" s="5" t="s">
        <v>38</v>
      </c>
      <c r="D10" s="5" t="s">
        <v>310</v>
      </c>
      <c r="E10" s="5" t="s">
        <v>312</v>
      </c>
      <c r="F10" s="5" t="s">
        <v>312</v>
      </c>
      <c r="G10" s="5" t="s">
        <v>312</v>
      </c>
      <c r="H10" s="5"/>
    </row>
    <row r="11" ht="70" customHeight="1" spans="1:8">
      <c r="A11" s="4" t="s">
        <v>321</v>
      </c>
      <c r="B11" s="4" t="s">
        <v>42</v>
      </c>
      <c r="C11" s="4" t="s">
        <v>43</v>
      </c>
      <c r="D11" s="4" t="s">
        <v>310</v>
      </c>
      <c r="E11" s="4" t="s">
        <v>312</v>
      </c>
      <c r="F11" s="4" t="s">
        <v>312</v>
      </c>
      <c r="G11" s="4"/>
      <c r="H11" s="4"/>
    </row>
    <row r="12" ht="70" customHeight="1" spans="1:8">
      <c r="A12" s="4" t="s">
        <v>322</v>
      </c>
      <c r="B12" s="4" t="s">
        <v>47</v>
      </c>
      <c r="C12" s="4" t="s">
        <v>48</v>
      </c>
      <c r="D12" s="4" t="s">
        <v>310</v>
      </c>
      <c r="E12" s="4" t="s">
        <v>312</v>
      </c>
      <c r="F12" s="4" t="s">
        <v>312</v>
      </c>
      <c r="G12" s="4"/>
      <c r="H12" s="4"/>
    </row>
    <row r="13" ht="70" customHeight="1" spans="1:8">
      <c r="A13" s="5" t="s">
        <v>323</v>
      </c>
      <c r="B13" s="5" t="s">
        <v>51</v>
      </c>
      <c r="C13" s="5" t="s">
        <v>52</v>
      </c>
      <c r="D13" s="5" t="s">
        <v>310</v>
      </c>
      <c r="E13" s="5" t="s">
        <v>312</v>
      </c>
      <c r="F13" s="5" t="s">
        <v>312</v>
      </c>
      <c r="G13" s="5" t="s">
        <v>312</v>
      </c>
      <c r="H13" s="5"/>
    </row>
    <row r="14" ht="70" customHeight="1" spans="1:8">
      <c r="A14" s="5" t="s">
        <v>324</v>
      </c>
      <c r="B14" s="5" t="s">
        <v>55</v>
      </c>
      <c r="C14" s="5" t="s">
        <v>56</v>
      </c>
      <c r="D14" s="5" t="s">
        <v>310</v>
      </c>
      <c r="E14" s="5" t="s">
        <v>312</v>
      </c>
      <c r="F14" s="5" t="s">
        <v>312</v>
      </c>
      <c r="G14" s="5" t="s">
        <v>312</v>
      </c>
      <c r="H14" s="5"/>
    </row>
    <row r="15" ht="70" customHeight="1" spans="1:8">
      <c r="A15" s="6" t="s">
        <v>325</v>
      </c>
      <c r="B15" s="6" t="s">
        <v>326</v>
      </c>
      <c r="C15" s="6" t="s">
        <v>61</v>
      </c>
      <c r="D15" s="6" t="s">
        <v>310</v>
      </c>
      <c r="E15" s="6" t="s">
        <v>312</v>
      </c>
      <c r="F15" s="6" t="s">
        <v>327</v>
      </c>
      <c r="G15" s="6"/>
      <c r="H15" s="6" t="s">
        <v>328</v>
      </c>
    </row>
    <row r="16" ht="70" customHeight="1" spans="1:8">
      <c r="A16" s="5" t="s">
        <v>329</v>
      </c>
      <c r="B16" s="5" t="s">
        <v>65</v>
      </c>
      <c r="C16" s="5" t="s">
        <v>66</v>
      </c>
      <c r="D16" s="5" t="s">
        <v>310</v>
      </c>
      <c r="E16" s="5" t="s">
        <v>312</v>
      </c>
      <c r="F16" s="5" t="s">
        <v>312</v>
      </c>
      <c r="G16" s="5" t="s">
        <v>312</v>
      </c>
      <c r="H16" s="5"/>
    </row>
    <row r="17" ht="70" customHeight="1" spans="1:8">
      <c r="A17" s="6" t="s">
        <v>330</v>
      </c>
      <c r="B17" s="6" t="s">
        <v>70</v>
      </c>
      <c r="C17" s="6" t="s">
        <v>71</v>
      </c>
      <c r="D17" s="6" t="s">
        <v>310</v>
      </c>
      <c r="E17" s="6" t="s">
        <v>312</v>
      </c>
      <c r="F17" s="6" t="s">
        <v>312</v>
      </c>
      <c r="G17" s="6"/>
      <c r="H17" s="6" t="s">
        <v>331</v>
      </c>
    </row>
    <row r="18" ht="70" customHeight="1" spans="1:8">
      <c r="A18" s="5" t="s">
        <v>332</v>
      </c>
      <c r="B18" s="5" t="s">
        <v>75</v>
      </c>
      <c r="C18" s="5" t="s">
        <v>76</v>
      </c>
      <c r="D18" s="5" t="s">
        <v>310</v>
      </c>
      <c r="E18" s="5" t="s">
        <v>312</v>
      </c>
      <c r="F18" s="5" t="s">
        <v>312</v>
      </c>
      <c r="G18" s="5" t="s">
        <v>312</v>
      </c>
      <c r="H18" s="5"/>
    </row>
    <row r="19" ht="70" customHeight="1" spans="1:8">
      <c r="A19" s="6" t="s">
        <v>333</v>
      </c>
      <c r="B19" s="6" t="s">
        <v>80</v>
      </c>
      <c r="C19" s="6" t="s">
        <v>81</v>
      </c>
      <c r="D19" s="6" t="s">
        <v>314</v>
      </c>
      <c r="E19" s="6" t="s">
        <v>312</v>
      </c>
      <c r="F19" s="6" t="s">
        <v>327</v>
      </c>
      <c r="G19" s="6"/>
      <c r="H19" s="6"/>
    </row>
    <row r="20" ht="70" customHeight="1" spans="1:8">
      <c r="A20" s="2" t="s">
        <v>334</v>
      </c>
      <c r="B20" s="2" t="s">
        <v>84</v>
      </c>
      <c r="C20" s="2" t="s">
        <v>85</v>
      </c>
      <c r="D20" s="2" t="s">
        <v>310</v>
      </c>
      <c r="E20" s="2"/>
      <c r="F20" s="2"/>
      <c r="G20" s="2"/>
      <c r="H20" s="2"/>
    </row>
    <row r="21" ht="70" customHeight="1" spans="1:8">
      <c r="A21" s="3" t="s">
        <v>335</v>
      </c>
      <c r="B21" s="3" t="s">
        <v>88</v>
      </c>
      <c r="C21" s="3" t="s">
        <v>89</v>
      </c>
      <c r="D21" s="3" t="s">
        <v>314</v>
      </c>
      <c r="E21" s="3"/>
      <c r="F21" s="3"/>
      <c r="G21" s="3"/>
      <c r="H21" s="3"/>
    </row>
    <row r="22" ht="70" customHeight="1" spans="1:8">
      <c r="A22" s="5" t="s">
        <v>336</v>
      </c>
      <c r="B22" s="5" t="s">
        <v>337</v>
      </c>
      <c r="C22" s="5" t="s">
        <v>94</v>
      </c>
      <c r="D22" s="5" t="s">
        <v>310</v>
      </c>
      <c r="E22" s="5" t="s">
        <v>312</v>
      </c>
      <c r="F22" s="5" t="s">
        <v>312</v>
      </c>
      <c r="G22" s="5" t="s">
        <v>312</v>
      </c>
      <c r="H22" s="5"/>
    </row>
    <row r="23" ht="70" customHeight="1" spans="1:8">
      <c r="A23" s="5" t="s">
        <v>338</v>
      </c>
      <c r="B23" s="5" t="s">
        <v>98</v>
      </c>
      <c r="C23" s="5" t="s">
        <v>99</v>
      </c>
      <c r="D23" s="5" t="s">
        <v>310</v>
      </c>
      <c r="E23" s="5" t="s">
        <v>312</v>
      </c>
      <c r="F23" s="5" t="s">
        <v>312</v>
      </c>
      <c r="G23" s="5" t="s">
        <v>312</v>
      </c>
      <c r="H23" s="5"/>
    </row>
    <row r="24" ht="70" customHeight="1" spans="1:8">
      <c r="A24" s="4" t="s">
        <v>339</v>
      </c>
      <c r="B24" s="4" t="s">
        <v>102</v>
      </c>
      <c r="C24" s="4" t="s">
        <v>103</v>
      </c>
      <c r="D24" s="4" t="s">
        <v>310</v>
      </c>
      <c r="E24" s="4" t="s">
        <v>312</v>
      </c>
      <c r="F24" s="4" t="s">
        <v>312</v>
      </c>
      <c r="G24" s="4"/>
      <c r="H24" s="4"/>
    </row>
    <row r="25" ht="70" customHeight="1" spans="1:8">
      <c r="A25" s="5" t="s">
        <v>340</v>
      </c>
      <c r="B25" s="5" t="s">
        <v>106</v>
      </c>
      <c r="C25" s="5" t="s">
        <v>107</v>
      </c>
      <c r="D25" s="5" t="s">
        <v>310</v>
      </c>
      <c r="E25" s="5" t="s">
        <v>312</v>
      </c>
      <c r="F25" s="5" t="s">
        <v>312</v>
      </c>
      <c r="G25" s="5" t="s">
        <v>312</v>
      </c>
      <c r="H25" s="5"/>
    </row>
    <row r="26" ht="70" customHeight="1" spans="1:8">
      <c r="A26" s="4" t="s">
        <v>341</v>
      </c>
      <c r="B26" s="4" t="s">
        <v>110</v>
      </c>
      <c r="C26" s="4" t="s">
        <v>111</v>
      </c>
      <c r="D26" s="4" t="s">
        <v>310</v>
      </c>
      <c r="E26" s="4" t="s">
        <v>312</v>
      </c>
      <c r="F26" s="4" t="s">
        <v>312</v>
      </c>
      <c r="G26" s="4"/>
      <c r="H26" s="4"/>
    </row>
    <row r="27" ht="70" customHeight="1" spans="1:8">
      <c r="A27" s="5" t="s">
        <v>342</v>
      </c>
      <c r="B27" s="5" t="s">
        <v>114</v>
      </c>
      <c r="C27" s="5" t="s">
        <v>115</v>
      </c>
      <c r="D27" s="5" t="s">
        <v>310</v>
      </c>
      <c r="E27" s="5" t="s">
        <v>312</v>
      </c>
      <c r="F27" s="5" t="s">
        <v>312</v>
      </c>
      <c r="G27" s="5" t="s">
        <v>312</v>
      </c>
      <c r="H27" s="5"/>
    </row>
    <row r="28" ht="70" customHeight="1" spans="1:8">
      <c r="A28" s="5" t="s">
        <v>343</v>
      </c>
      <c r="B28" s="5" t="s">
        <v>119</v>
      </c>
      <c r="C28" s="5" t="s">
        <v>120</v>
      </c>
      <c r="D28" s="5" t="s">
        <v>310</v>
      </c>
      <c r="E28" s="5" t="s">
        <v>312</v>
      </c>
      <c r="F28" s="5" t="s">
        <v>312</v>
      </c>
      <c r="G28" s="5" t="s">
        <v>312</v>
      </c>
      <c r="H28" s="5"/>
    </row>
    <row r="29" ht="70" customHeight="1" spans="1:8">
      <c r="A29" s="4" t="s">
        <v>344</v>
      </c>
      <c r="B29" s="4" t="s">
        <v>123</v>
      </c>
      <c r="C29" s="4" t="s">
        <v>124</v>
      </c>
      <c r="D29" s="4" t="s">
        <v>310</v>
      </c>
      <c r="E29" s="4" t="s">
        <v>312</v>
      </c>
      <c r="F29" s="4" t="s">
        <v>312</v>
      </c>
      <c r="G29" s="4"/>
      <c r="H29" s="4"/>
    </row>
    <row r="30" ht="70" customHeight="1" spans="1:8">
      <c r="A30" s="2" t="s">
        <v>345</v>
      </c>
      <c r="B30" s="2" t="s">
        <v>346</v>
      </c>
      <c r="C30" s="2" t="s">
        <v>128</v>
      </c>
      <c r="D30" s="2" t="s">
        <v>310</v>
      </c>
      <c r="E30" s="2"/>
      <c r="F30" s="2"/>
      <c r="G30" s="2"/>
      <c r="H30" s="2"/>
    </row>
    <row r="31" ht="70" customHeight="1" spans="1:8">
      <c r="A31" s="4" t="s">
        <v>347</v>
      </c>
      <c r="B31" s="4" t="s">
        <v>131</v>
      </c>
      <c r="C31" s="4" t="s">
        <v>132</v>
      </c>
      <c r="D31" s="4" t="s">
        <v>310</v>
      </c>
      <c r="E31" s="4" t="s">
        <v>312</v>
      </c>
      <c r="F31" s="4" t="s">
        <v>312</v>
      </c>
      <c r="G31" s="4"/>
      <c r="H31" s="4"/>
    </row>
    <row r="32" ht="70" customHeight="1" spans="1:8">
      <c r="A32" s="4" t="s">
        <v>348</v>
      </c>
      <c r="B32" s="4" t="s">
        <v>134</v>
      </c>
      <c r="C32" s="4" t="s">
        <v>135</v>
      </c>
      <c r="D32" s="4" t="s">
        <v>310</v>
      </c>
      <c r="E32" s="4" t="s">
        <v>312</v>
      </c>
      <c r="F32" s="4" t="s">
        <v>312</v>
      </c>
      <c r="G32" s="4"/>
      <c r="H32" s="4"/>
    </row>
    <row r="33" ht="70" customHeight="1" spans="1:8">
      <c r="A33" s="5" t="s">
        <v>349</v>
      </c>
      <c r="B33" s="5" t="s">
        <v>138</v>
      </c>
      <c r="C33" s="5" t="s">
        <v>139</v>
      </c>
      <c r="D33" s="5" t="s">
        <v>310</v>
      </c>
      <c r="E33" s="5" t="s">
        <v>312</v>
      </c>
      <c r="F33" s="5" t="s">
        <v>312</v>
      </c>
      <c r="G33" s="5" t="s">
        <v>312</v>
      </c>
      <c r="H33" s="5"/>
    </row>
    <row r="34" ht="70" customHeight="1" spans="1:8">
      <c r="A34" s="5" t="s">
        <v>350</v>
      </c>
      <c r="B34" s="5" t="s">
        <v>143</v>
      </c>
      <c r="C34" s="5" t="s">
        <v>144</v>
      </c>
      <c r="D34" s="5" t="s">
        <v>351</v>
      </c>
      <c r="E34" s="5" t="s">
        <v>312</v>
      </c>
      <c r="F34" s="5" t="s">
        <v>312</v>
      </c>
      <c r="G34" s="5" t="s">
        <v>312</v>
      </c>
      <c r="H34" s="5"/>
    </row>
    <row r="35" ht="70" customHeight="1" spans="1:8">
      <c r="A35" s="4" t="s">
        <v>352</v>
      </c>
      <c r="B35" s="4" t="s">
        <v>147</v>
      </c>
      <c r="C35" s="4" t="s">
        <v>148</v>
      </c>
      <c r="D35" s="4" t="s">
        <v>351</v>
      </c>
      <c r="E35" s="4" t="s">
        <v>312</v>
      </c>
      <c r="F35" s="4" t="s">
        <v>312</v>
      </c>
      <c r="G35" s="4"/>
      <c r="H35" s="4"/>
    </row>
    <row r="36" ht="70" customHeight="1" spans="1:8">
      <c r="A36" s="5" t="s">
        <v>353</v>
      </c>
      <c r="B36" s="5" t="s">
        <v>151</v>
      </c>
      <c r="C36" s="5" t="s">
        <v>152</v>
      </c>
      <c r="D36" s="5" t="s">
        <v>351</v>
      </c>
      <c r="E36" s="5" t="s">
        <v>312</v>
      </c>
      <c r="F36" s="5" t="s">
        <v>312</v>
      </c>
      <c r="G36" s="5" t="s">
        <v>312</v>
      </c>
      <c r="H36" s="5"/>
    </row>
    <row r="37" ht="70" customHeight="1" spans="1:8">
      <c r="A37" s="4" t="s">
        <v>354</v>
      </c>
      <c r="B37" s="4" t="s">
        <v>155</v>
      </c>
      <c r="C37" s="4" t="s">
        <v>156</v>
      </c>
      <c r="D37" s="4" t="s">
        <v>351</v>
      </c>
      <c r="E37" s="4" t="s">
        <v>312</v>
      </c>
      <c r="F37" s="4" t="s">
        <v>312</v>
      </c>
      <c r="G37" s="4"/>
      <c r="H37" s="4"/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8" outlineLevelCol="1"/>
  <cols>
    <col min="1" max="1" width="24" customWidth="1"/>
    <col min="2" max="2" width="120" customWidth="1"/>
  </cols>
  <sheetData>
    <row r="1" ht="42" customHeight="1" spans="1:2">
      <c r="A1" s="1" t="s">
        <v>355</v>
      </c>
      <c r="B1" s="1" t="s">
        <v>356</v>
      </c>
    </row>
    <row r="2" ht="95" customHeight="1" spans="1:2">
      <c r="A2" s="2" t="s">
        <v>357</v>
      </c>
      <c r="B2" s="2" t="s">
        <v>358</v>
      </c>
    </row>
    <row r="3" ht="95" customHeight="1" spans="1:2">
      <c r="A3" s="3" t="s">
        <v>359</v>
      </c>
      <c r="B3" s="3" t="s">
        <v>360</v>
      </c>
    </row>
    <row r="4" ht="95" customHeight="1" spans="1:2">
      <c r="A4" s="2" t="s">
        <v>37</v>
      </c>
      <c r="B4" s="2" t="s">
        <v>361</v>
      </c>
    </row>
    <row r="5" ht="95" customHeight="1" spans="1:2">
      <c r="A5" s="3" t="s">
        <v>127</v>
      </c>
      <c r="B5" s="3" t="s">
        <v>362</v>
      </c>
    </row>
    <row r="6" ht="95" customHeight="1" spans="1:2">
      <c r="A6" s="2" t="s">
        <v>363</v>
      </c>
      <c r="B6" s="2" t="s">
        <v>364</v>
      </c>
    </row>
    <row r="7" ht="95" customHeight="1" spans="1:2">
      <c r="A7" s="3" t="s">
        <v>365</v>
      </c>
      <c r="B7" s="3" t="s">
        <v>366</v>
      </c>
    </row>
    <row r="8" ht="95" customHeight="1" spans="1:2">
      <c r="A8" s="2" t="s">
        <v>367</v>
      </c>
      <c r="B8" s="2" t="s">
        <v>368</v>
      </c>
    </row>
    <row r="9" ht="95" customHeight="1" spans="1:2">
      <c r="A9" s="3" t="s">
        <v>369</v>
      </c>
      <c r="B9" s="3" t="s">
        <v>370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Academic_metrics</vt:lpstr>
      <vt:lpstr>说明与统计</vt:lpstr>
      <vt:lpstr>原始核验信息</vt:lpstr>
      <vt:lpstr>原始问卷信息</vt:lpstr>
      <vt:lpstr>原始说明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xuanhong</cp:lastModifiedBy>
  <dcterms:created xsi:type="dcterms:W3CDTF">2026-09-26T08:17:00Z</dcterms:created>
  <dcterms:modified xsi:type="dcterms:W3CDTF">2026-09-28T01:57:46Z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D5FCA3D21F2E4A818E62EB15AD9D74C9_13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